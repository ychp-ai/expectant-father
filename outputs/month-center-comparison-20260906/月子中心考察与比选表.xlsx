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f02b27915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627852ec031436c"/>
    <x:sheet xmlns:r="http://schemas.openxmlformats.org/officeDocument/2006/relationships" name="候选对比" sheetId="2" r:id="R691d1e16e8744bfc"/>
    <x:sheet xmlns:r="http://schemas.openxmlformats.org/officeDocument/2006/relationships" name="现场考察" sheetId="3" r:id="Rbe26ffe4bd1d4888"/>
    <x:sheet xmlns:r="http://schemas.openxmlformats.org/officeDocument/2006/relationships" name="费用明细" sheetId="4" r:id="Rece744119b1749e0"/>
    <x:sheet xmlns:r="http://schemas.openxmlformats.org/officeDocument/2006/relationships" name="来源说明" sheetId="5" r:id="Rf10061206449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"/>
    <x:numFmt numFmtId="202" formatCode="#,##0"/>
    <x:numFmt numFmtId="203" formatCode="0.00"/>
    <x:numFmt numFmtId="204" formatCode="yyyy-mm-dd"/>
    <x:numFmt numFmtId="205" formatCode="#,##0.00"/>
  </x:numFmts>
  <x:fonts count="6">
    <x:font>
      <x:sz val="11"/>
      <x:name val="Carlito"/>
    </x:font>
    <x:font>
      <x:sz val="10"/>
      <x:color rgb="FF1F2933"/>
      <x:name val="Arial"/>
    </x:font>
    <x:font>
      <x:b/>
      <x:sz val="16"/>
      <x:color rgb="FF243447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34E68"/>
      </x:patternFill>
    </x:fill>
    <x:fill>
      <x:patternFill patternType="solid">
        <x:fgColor rgb="FFFFF4CC"/>
      </x:patternFill>
    </x:fill>
    <x:fill>
      <x:patternFill patternType="solid">
        <x:fgColor rgb="FFDDEEDF"/>
      </x:patternFill>
    </x:fill>
    <x:fill>
      <x:patternFill patternType="solid">
        <x:fgColor rgb="FFF8D7DA"/>
      </x:patternFill>
    </x:fill>
    <x:fill>
      <x:patternFill patternType="solid">
        <x:fgColor rgb="FFD9E6F2"/>
      </x:patternFill>
    </x:fill>
    <x:fill>
      <x:patternFill patternType="solid">
        <x:fgColor rgb="FFF4F6F8"/>
      </x:patternFill>
    </x:fill>
  </x:fills>
  <x:borders count="12">
    <x:border/>
    <x:border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CBD5E1"/>
      </x:left>
      <x:right style="thin">
        <x:color rgb="FFFFFFFF"/>
      </x:right>
      <x:top style="thin">
        <x:color rgb="FFCBD5E1"/>
      </x:top>
    </x:border>
    <x:border>
      <x:left style="thin">
        <x:color rgb="FFFFFFFF"/>
      </x:left>
      <x:right style="thin">
        <x:color rgb="FFFFFFFF"/>
      </x:right>
      <x:top style="thin">
        <x:color rgb="FFCBD5E1"/>
      </x:top>
    </x:border>
    <x:border>
      <x:left style="thin">
        <x:color rgb="FFFFFFFF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B5E20"/>
      </x:font>
      <x:fill>
        <x:patternFill patternType="solid">
          <x:bgColor rgb="FFDDEEDF"/>
        </x:patternFill>
      </x:fill>
    </x:dxf>
    <x:dxf>
      <x:fill>
        <x:patternFill patternType="solid">
          <x:bgColor rgb="FFFFF0C2"/>
        </x:patternFill>
      </x:fill>
    </x:dxf>
    <x:dxf>
      <x:font>
        <x:color rgb="FF8A1C1C"/>
      </x:font>
      <x:fill>
        <x:patternFill patternType="solid">
          <x:bgColor rgb="FFF8D7DA"/>
        </x:patternFill>
      </x:fill>
    </x:dxf>
    <x:dxf>
      <x:font>
        <x:b/>
        <x:color rgb="FF1B5E20"/>
      </x:font>
      <x:fill>
        <x:patternFill patternType="solid">
          <x:bgColor rgb="FFDDEEDF"/>
        </x:patternFill>
      </x:fill>
    </x:dxf>
    <x:dxf>
      <x:font>
        <x:color rgb="FF8A1C1C"/>
      </x:font>
      <x:fill>
        <x:patternFill patternType="solid">
          <x:bgColor rgb="FFF8D7DA"/>
        </x:patternFill>
      </x:fill>
    </x:dxf>
    <x:dxf>
      <x:fill>
        <x:patternFill patternType="solid">
          <x:bgColor rgb="FFDDEEDF"/>
        </x:patternFill>
      </x:fill>
    </x:dxf>
    <x:dxf>
      <x:font>
        <x:color rgb="FF8A1C1C"/>
      </x:font>
      <x:fill>
        <x:patternFill patternType="solid">
          <x:bgColor rgb="FFF8D7DA"/>
        </x:patternFill>
      </x:fill>
    </x:dxf>
    <x:dxf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c05bdfbfb4a80" /><Relationship Type="http://schemas.openxmlformats.org/officeDocument/2006/relationships/theme" Target="/xl/theme/theme1.xml" Id="R2111de199ffa4a8e" /><Relationship Type="http://schemas.openxmlformats.org/officeDocument/2006/relationships/sharedStrings" Target="/xl/sharedStrings.xml" Id="R496bb5c147324767" /><Relationship Type="http://schemas.openxmlformats.org/officeDocument/2006/relationships/worksheet" Target="/xl/worksheets/sheet1.xml" Id="Rd627852ec031436c" /><Relationship Type="http://schemas.openxmlformats.org/officeDocument/2006/relationships/worksheet" Target="/xl/worksheets/sheet2.xml" Id="R691d1e16e8744bfc" /><Relationship Type="http://schemas.openxmlformats.org/officeDocument/2006/relationships/worksheet" Target="/xl/worksheets/sheet3.xml" Id="Rbe26ffe4bd1d4888" /><Relationship Type="http://schemas.openxmlformats.org/officeDocument/2006/relationships/worksheet" Target="/xl/worksheets/sheet4.xml" Id="Rece744119b1749e0" /><Relationship Type="http://schemas.openxmlformats.org/officeDocument/2006/relationships/worksheet" Target="/xl/worksheets/sheet5.xml" Id="Rf100612064494c1b" /></Relationships>
</file>

<file path=xl/tables/table1.xml><?xml version="1.0" encoding="utf-8"?>
<x:table xmlns:x="http://schemas.openxmlformats.org/spreadsheetml/2006/main" id="1" name="CandidateComparisonTable" displayName="CandidateComparisonTable" ref="A6:V26" headerRowCount="1" totalsRowCount="0" totalsRowShown="0">
  <x:tableColumns count="22">
    <x:tableColumn id="1" name="编号"/>
    <x:tableColumn id="2" name="候选机构"/>
    <x:tableColumn id="3" name="区域/地址"/>
    <x:tableColumn id="4" name="距家车程(分钟)"/>
    <x:tableColumn id="5" name="套餐报价(元)"/>
    <x:tableColumn id="6" name="入住天数"/>
    <x:tableColumn id="7" name="预计额外费用(元)"/>
    <x:tableColumn id="8" name="预计总费用(元)"/>
    <x:tableColumn id="9" name="费用"/>
    <x:tableColumn id="10" name="环境设施"/>
    <x:tableColumn id="11" name="人员资质"/>
    <x:tableColumn id="12" name="医疗与应急"/>
    <x:tableColumn id="13" name="母婴照护"/>
    <x:tableColumn id="14" name="餐饮服务"/>
    <x:tableColumn id="15" name="合同与退费"/>
    <x:tableColumn id="16" name="距离便利"/>
    <x:tableColumn id="17" name="综合评分"/>
    <x:tableColumn id="18" name="决策状态"/>
    <x:tableColumn id="19" name="考察日期"/>
    <x:tableColumn id="20" name="公开联系方式"/>
    <x:tableColumn id="21" name="来源链接"/>
    <x:tableColumn id="22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VisitChecklistTable" displayName="SiteVisitChecklistTable" ref="A6:I41" headerRowCount="1" totalsRowCount="0" totalsRowShown="0">
  <x:tableColumns count="9">
    <x:tableColumn id="1" name="类别"/>
    <x:tableColumn id="2" name="核对项目"/>
    <x:tableColumn id="3" name="建议核对方式"/>
    <x:tableColumn id="4" name="重要性"/>
    <x:tableColumn id="5" name="机构名称"/>
    <x:tableColumn id="6" name="核对结果"/>
    <x:tableColumn id="7" name="得分(1-5)"/>
    <x:tableColumn id="8" name="现场记录"/>
    <x:tableColumn id="9" name="证据/合同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DetailTable" displayName="CostDetailTable" ref="A6:J86" headerRowCount="1" totalsRowCount="0" totalsRowShown="0">
  <x:tableColumns count="10">
    <x:tableColumn id="1" name="候选机构"/>
    <x:tableColumn id="2" name="费用分类"/>
    <x:tableColumn id="3" name="费用项目"/>
    <x:tableColumn id="4" name="单价(元)"/>
    <x:tableColumn id="5" name="数量"/>
    <x:tableColumn id="6" name="套餐内"/>
    <x:tableColumn id="7" name="预计额外费用(元)"/>
    <x:tableColumn id="8" name="付款时间"/>
    <x:tableColumn id="9" name="可退条件"/>
    <x:tableColumn id="10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Table" displayName="SourceTable" ref="A4:D7" headerRowCount="1" totalsRowCount="0" totalsRowShown="0">
  <x:tableColumns count="4">
    <x:tableColumn id="1" name="编号"/>
    <x:tableColumn id="2" name="来源"/>
    <x:tableColumn id="3" name="主要用途"/>
    <x:tableColumn id="4" name="官方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4cbe3da9df43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da128cd0f844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1c95b6489149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1d936f442a4013" /></Relationships>
</file>

<file path=xl/worksheets/sheet1.xml><?xml version="1.0" encoding="utf-8"?>
<x:worksheet xmlns:x="http://schemas.openxmlformats.org/spreadsheetml/2006/main">
  <x:sheetPr>
    <x:tabColor rgb="FF5B7C9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25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9.200000762939453" hidden="0" customHeight="1">
      <x:c r="A1" s="4" t="str">
        <x:v>月子中心考察与比选表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适用于家庭初筛、实地考察、费用核对和合同前复盘。黄色单元格为主要录入区。</x:v>
      </x:c>
      <x:c r="B2" s="6"/>
      <x:c r="C2" s="6"/>
      <x:c r="D2" s="6"/>
      <x:c r="E2" s="6"/>
      <x:c r="F2" s="6"/>
      <x:c r="G2" s="6"/>
      <x:c r="H2" s="6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</x:row>
    <x:row r="4" ht="15" hidden="0" customHeight="1">
      <x:c r="A4" s="19" t="str">
        <x:v>步骤</x:v>
      </x:c>
      <x:c r="B4" s="20" t="str">
        <x:v>使用方法</x:v>
      </x:c>
      <x:c r="C4" s="20" t="str">
        <x:v>完成标志</x:v>
      </x:c>
      <x:c r="D4" s="20" t="str">
        <x:v>注意事项</x:v>
      </x:c>
      <x:c r="E4" s="20" t="str">
        <x:v>隐私提醒</x:v>
      </x:c>
      <x:c r="F4" s="20" t="str">
        <x:v>评分口径</x:v>
      </x:c>
      <x:c r="G4" s="20" t="str">
        <x:v>费用口径</x:v>
      </x:c>
      <x:c r="H4" s="21" t="str">
        <x:v>医疗边界</x:v>
      </x:c>
    </x:row>
    <x:row r="5" ht="36" hidden="0" customHeight="1">
      <x:c r="A5" s="22" t="str">
        <x:v>1 初筛</x:v>
      </x:c>
      <x:c r="B5" s="15" t="str">
        <x:v>在“候选对比”登记机构、区域、报价和公开链接。</x:v>
      </x:c>
      <x:c r="C5" s="15" t="str">
        <x:v>候选项信息基本齐全</x:v>
      </x:c>
      <x:c r="D5" s="15" t="str">
        <x:v>只记录公开经营信息；动态信息以当次书面确认和合同为准。</x:v>
      </x:c>
      <x:c r="E5" s="15" t="str">
        <x:v>不要填写家庭证件号、病历号、详细住址或报告。</x:v>
      </x:c>
      <x:c r="F5" s="15" t="str">
        <x:v>各分类按 1～5 分填写，5 分最好。</x:v>
      </x:c>
      <x:c r="G5" s="15" t="str">
        <x:v>套餐报价与额外费用分开记录。</x:v>
      </x:c>
      <x:c r="H5" s="23" t="str">
        <x:v>月子中心通常提供非医疗性服务；诊疗和紧急处置应由医疗机构承担。</x:v>
      </x:c>
    </x:row>
    <x:row r="6" ht="24" hidden="0" customHeight="1">
      <x:c r="A6" s="22" t="str">
        <x:v>2 实地考察</x:v>
      </x:c>
      <x:c r="B6" s="15" t="str">
        <x:v>复制或续写“现场考察”行，填写机构名称、结果、得分和记录。</x:v>
      </x:c>
      <x:c r="C6" s="15" t="str">
        <x:v>关键项目已有证据或明确答复</x:v>
      </x:c>
      <x:c r="D6" s="15" t="str">
        <x:v>证照、人员、消防、卫生、转诊和夜间照护不要只听口头承诺。</x:v>
      </x:c>
      <x:c r="E6" s="15" t="str">
        <x:v>联系人只记机构公开联系方式。</x:v>
      </x:c>
      <x:c r="F6" s="15" t="str">
        <x:v>重要项目优先核对；不清楚时保持空白。</x:v>
      </x:c>
      <x:c r="G6" s="15" t="str">
        <x:v>赠送、限次、耗材和升级差价单列。</x:v>
      </x:c>
      <x:c r="H6" s="23" t="str">
        <x:v>遇到母婴异常时，重点确认识别、通知、转诊和记录流程。</x:v>
      </x:c>
    </x:row>
    <x:row r="7" ht="24" hidden="0" customHeight="1">
      <x:c r="A7" s="22" t="str">
        <x:v>3 费用核对</x:v>
      </x:c>
      <x:c r="B7" s="15" t="str">
        <x:v>在“费用明细”按项目登记单价、数量、是否包含和退款条件。</x:v>
      </x:c>
      <x:c r="C7" s="15" t="str">
        <x:v>预计总费用可回填到候选对比</x:v>
      </x:c>
      <x:c r="D7" s="15" t="str">
        <x:v>合同主体、收款主体、发票主体应核对一致。</x:v>
      </x:c>
      <x:c r="E7" s="15" t="str">
        <x:v>不上传合同照片、支付凭证或银行卡信息。</x:v>
      </x:c>
      <x:c r="F7" s="15" t="str">
        <x:v>低价不等于高分，费用只占综合分的 15%。</x:v>
      </x:c>
      <x:c r="G7" s="15" t="str">
        <x:v>预计总费用＝套餐报价＋预计额外费用。</x:v>
      </x:c>
      <x:c r="H7" s="23" t="str">
        <x:v>医疗检查、诊断、治疗和用药不应被模糊包装为普通套餐服务。</x:v>
      </x:c>
    </x:row>
    <x:row r="8" ht="24" hidden="0" customHeight="1">
      <x:c r="A8" s="24" t="str">
        <x:v>4 决选</x:v>
      </x:c>
      <x:c r="B8" s="25" t="str">
        <x:v>完整填写 8 个分类分数，综合评分会自动计算。</x:v>
      </x:c>
      <x:c r="C8" s="25" t="str">
        <x:v>保留 2～3 家进入合同复核</x:v>
      </x:c>
      <x:c r="D8" s="25" t="str">
        <x:v>最终选择同时看硬性底线、合同文本和家庭偏好。</x:v>
      </x:c>
      <x:c r="E8" s="25" t="str">
        <x:v>决定和私人情况放在受控的私人记录中。</x:v>
      </x:c>
      <x:c r="F8" s="25" t="str">
        <x:v>综合评分按权重计算，仅作决策辅助。</x:v>
      </x:c>
      <x:c r="G8" s="25" t="str">
        <x:v>签约前再次核对退订、早产、延住和转院结算。</x:v>
      </x:c>
      <x:c r="H8" s="26" t="str">
        <x:v>本表不替代医生、医院、监管部门或合同专业意见。</x:v>
      </x:c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</x:row>
    <x:row r="10" ht="15" hidden="0" customHeight="1">
      <x:c r="A10" s="19" t="str">
        <x:v>颜色</x:v>
      </x:c>
      <x:c r="B10" s="21" t="str">
        <x:v>含义</x:v>
      </x:c>
      <x:c r="C10" s="2"/>
      <x:c r="D10" s="2"/>
      <x:c r="E10" s="2"/>
      <x:c r="F10" s="2"/>
      <x:c r="G10" s="2"/>
      <x:c r="H10" s="2"/>
    </x:row>
    <x:row r="11" ht="15" hidden="0" customHeight="1">
      <x:c r="A11" s="27" t="str">
        <x:v>黄色</x:v>
      </x:c>
      <x:c r="B11" s="28" t="str">
        <x:v>需要用户填写或更新</x:v>
      </x:c>
      <x:c r="C11" s="2"/>
      <x:c r="D11" s="2"/>
      <x:c r="E11" s="2"/>
      <x:c r="F11" s="2"/>
      <x:c r="G11" s="2"/>
      <x:c r="H11" s="2"/>
    </x:row>
    <x:row r="12" ht="15" hidden="0" customHeight="1">
      <x:c r="A12" s="29" t="str">
        <x:v>绿色</x:v>
      </x:c>
      <x:c r="B12" s="28" t="str">
        <x:v>较优或已完成</x:v>
      </x:c>
      <x:c r="C12" s="2"/>
      <x:c r="D12" s="2"/>
      <x:c r="E12" s="2"/>
      <x:c r="F12" s="2"/>
      <x:c r="G12" s="2"/>
      <x:c r="H12" s="2"/>
    </x:row>
    <x:row r="13" ht="15" hidden="0" customHeight="1">
      <x:c r="A13" s="30" t="str">
        <x:v>红色</x:v>
      </x:c>
      <x:c r="B13" s="31" t="str">
        <x:v>风险、缺失或较低评分</x:v>
      </x:c>
      <x:c r="C13" s="2"/>
      <x:c r="D13" s="2"/>
      <x:c r="E13" s="2"/>
      <x:c r="F13" s="2"/>
      <x:c r="G13" s="2"/>
      <x:c r="H1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69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20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3" hidden="0" customWidth="1"/>
    <x:col min="18" max="18" width="13" hidden="0" customWidth="1"/>
    <x:col min="19" max="19" width="13" hidden="0" customWidth="1"/>
    <x:col min="20" max="20" width="18" hidden="0" customWidth="1"/>
    <x:col min="21" max="21" width="28" hidden="0" customWidth="1"/>
    <x:col min="22" max="22" width="28" hidden="0" customWidth="1"/>
  </x:cols>
  <x:sheetData>
    <x:row r="1" ht="19.200000762939453" hidden="0" customHeight="1">
      <x:c r="A1" s="4" t="str">
        <x:v>候选月子中心对比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15" hidden="0" customHeight="1">
      <x:c r="A2" s="6" t="str">
        <x:v>先填基本信息和报价，实地考察后补齐 8 个分类分数。综合评分仅在 8 项均已填写时显示。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15" hidden="0" customHeight="1">
      <x:c r="A4" s="37" t="str">
        <x:v>评分权重</x:v>
      </x:c>
      <x:c r="B4" s="37" t="str"/>
      <x:c r="C4" s="37" t="str"/>
      <x:c r="D4" s="37" t="str"/>
      <x:c r="E4" s="37" t="str"/>
      <x:c r="F4" s="37" t="str"/>
      <x:c r="G4" s="37" t="str"/>
      <x:c r="H4" s="37" t="str"/>
      <x:c r="I4" s="38" t="n">
        <x:v>0.15</x:v>
      </x:c>
      <x:c r="J4" s="38" t="n">
        <x:v>0.1</x:v>
      </x:c>
      <x:c r="K4" s="38" t="n">
        <x:v>0.15</x:v>
      </x:c>
      <x:c r="L4" s="38" t="n">
        <x:v>0.2</x:v>
      </x:c>
      <x:c r="M4" s="38" t="n">
        <x:v>0.15</x:v>
      </x:c>
      <x:c r="N4" s="38" t="n">
        <x:v>0.1</x:v>
      </x:c>
      <x:c r="O4" s="38" t="n">
        <x:v>0.1</x:v>
      </x:c>
      <x:c r="P4" s="38" t="n">
        <x:v>0.05</x:v>
      </x:c>
      <x:c r="Q4" s="2"/>
      <x:c r="R4" s="2"/>
      <x:c r="S4" s="2"/>
      <x:c r="T4" s="2"/>
      <x:c r="U4" s="2"/>
      <x:c r="V4" s="2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15" hidden="0" customHeight="1">
      <x:c r="A6" s="52" t="str">
        <x:v>编号</x:v>
      </x:c>
      <x:c r="B6" s="53" t="str">
        <x:v>候选机构</x:v>
      </x:c>
      <x:c r="C6" s="53" t="str">
        <x:v>区域/地址</x:v>
      </x:c>
      <x:c r="D6" s="53" t="str">
        <x:v>距家车程(分钟)</x:v>
      </x:c>
      <x:c r="E6" s="53" t="str">
        <x:v>套餐报价(元)</x:v>
      </x:c>
      <x:c r="F6" s="53" t="str">
        <x:v>入住天数</x:v>
      </x:c>
      <x:c r="G6" s="53" t="str">
        <x:v>预计额外费用(元)</x:v>
      </x:c>
      <x:c r="H6" s="53" t="str">
        <x:v>预计总费用(元)</x:v>
      </x:c>
      <x:c r="I6" s="53" t="str">
        <x:v>费用</x:v>
      </x:c>
      <x:c r="J6" s="53" t="str">
        <x:v>环境设施</x:v>
      </x:c>
      <x:c r="K6" s="53" t="str">
        <x:v>人员资质</x:v>
      </x:c>
      <x:c r="L6" s="53" t="str">
        <x:v>医疗与应急</x:v>
      </x:c>
      <x:c r="M6" s="53" t="str">
        <x:v>母婴照护</x:v>
      </x:c>
      <x:c r="N6" s="53" t="str">
        <x:v>餐饮服务</x:v>
      </x:c>
      <x:c r="O6" s="53" t="str">
        <x:v>合同与退费</x:v>
      </x:c>
      <x:c r="P6" s="53" t="str">
        <x:v>距离便利</x:v>
      </x:c>
      <x:c r="Q6" s="53" t="str">
        <x:v>综合评分</x:v>
      </x:c>
      <x:c r="R6" s="53" t="str">
        <x:v>决策状态</x:v>
      </x:c>
      <x:c r="S6" s="53" t="str">
        <x:v>考察日期</x:v>
      </x:c>
      <x:c r="T6" s="53" t="str">
        <x:v>公开联系方式</x:v>
      </x:c>
      <x:c r="U6" s="53" t="str">
        <x:v>来源链接</x:v>
      </x:c>
      <x:c r="V6" s="54" t="str">
        <x:v>备注</x:v>
      </x:c>
    </x:row>
    <x:row r="7" ht="15" hidden="0" customHeight="1">
      <x:c r="A7" s="62" t="n">
        <x:v>1</x:v>
      </x:c>
      <x:c r="B7" s="55" t="str"/>
      <x:c r="C7" s="55" t="str"/>
      <x:c r="D7" s="56"/>
      <x:c r="E7" s="57"/>
      <x:c r="F7" s="56"/>
      <x:c r="G7" s="58" t="str">
        <x:f>IF(B7="","",SUMIF('费用明细'!$A$7:$A$86,B7,'费用明细'!$G$7:$G$86))</x:f>
      </x:c>
      <x:c r="H7" s="58" t="str">
        <x:f>IF(E7="","",E7+G7)</x:f>
      </x:c>
      <x:c r="I7" s="59"/>
      <x:c r="J7" s="59"/>
      <x:c r="K7" s="59"/>
      <x:c r="L7" s="59"/>
      <x:c r="M7" s="59"/>
      <x:c r="N7" s="59"/>
      <x:c r="O7" s="59"/>
      <x:c r="P7" s="59"/>
      <x:c r="Q7" s="60" t="str">
        <x:f>IF(COUNT(I7:P7)&lt;8,"",ROUND(SUMPRODUCT(I7:P7,$I$4:$P$4)/SUM($I$4:$P$4),2))</x:f>
      </x:c>
      <x:c r="R7" s="55" t="str">
        <x:v>待联系</x:v>
      </x:c>
      <x:c r="S7" s="61"/>
      <x:c r="T7" s="55" t="str"/>
      <x:c r="U7" s="55" t="str"/>
      <x:c r="V7" s="55" t="str"/>
    </x:row>
    <x:row r="8" ht="15" hidden="0" customHeight="1">
      <x:c r="A8" s="62" t="n">
        <x:v>2</x:v>
      </x:c>
      <x:c r="B8" s="55" t="str"/>
      <x:c r="C8" s="55" t="str"/>
      <x:c r="D8" s="56"/>
      <x:c r="E8" s="57"/>
      <x:c r="F8" s="56"/>
      <x:c r="G8" s="58" t="str">
        <x:f>IF(B8="","",SUMIF('费用明细'!$A$7:$A$86,B8,'费用明细'!$G$7:$G$86))</x:f>
      </x:c>
      <x:c r="H8" s="58" t="str">
        <x:f>IF(E8="","",E8+G8)</x:f>
      </x:c>
      <x:c r="I8" s="59"/>
      <x:c r="J8" s="59"/>
      <x:c r="K8" s="59"/>
      <x:c r="L8" s="59"/>
      <x:c r="M8" s="59"/>
      <x:c r="N8" s="59"/>
      <x:c r="O8" s="59"/>
      <x:c r="P8" s="59"/>
      <x:c r="Q8" s="60" t="str">
        <x:f>IF(COUNT(I8:P8)&lt;8,"",ROUND(SUMPRODUCT(I8:P8,$I$4:$P$4)/SUM($I$4:$P$4),2))</x:f>
      </x:c>
      <x:c r="R8" s="55" t="str">
        <x:v>待联系</x:v>
      </x:c>
      <x:c r="S8" s="61"/>
      <x:c r="T8" s="55" t="str"/>
      <x:c r="U8" s="55" t="str"/>
      <x:c r="V8" s="55" t="str"/>
    </x:row>
    <x:row r="9" ht="15" hidden="0" customHeight="1">
      <x:c r="A9" s="62" t="n">
        <x:v>3</x:v>
      </x:c>
      <x:c r="B9" s="55" t="str"/>
      <x:c r="C9" s="55" t="str"/>
      <x:c r="D9" s="56"/>
      <x:c r="E9" s="57"/>
      <x:c r="F9" s="56"/>
      <x:c r="G9" s="58" t="str">
        <x:f>IF(B9="","",SUMIF('费用明细'!$A$7:$A$86,B9,'费用明细'!$G$7:$G$86))</x:f>
      </x:c>
      <x:c r="H9" s="58" t="str">
        <x:f>IF(E9="","",E9+G9)</x:f>
      </x:c>
      <x:c r="I9" s="59"/>
      <x:c r="J9" s="59"/>
      <x:c r="K9" s="59"/>
      <x:c r="L9" s="59"/>
      <x:c r="M9" s="59"/>
      <x:c r="N9" s="59"/>
      <x:c r="O9" s="59"/>
      <x:c r="P9" s="59"/>
      <x:c r="Q9" s="60" t="str">
        <x:f>IF(COUNT(I9:P9)&lt;8,"",ROUND(SUMPRODUCT(I9:P9,$I$4:$P$4)/SUM($I$4:$P$4),2))</x:f>
      </x:c>
      <x:c r="R9" s="55" t="str">
        <x:v>待联系</x:v>
      </x:c>
      <x:c r="S9" s="61"/>
      <x:c r="T9" s="55" t="str"/>
      <x:c r="U9" s="55" t="str"/>
      <x:c r="V9" s="55" t="str"/>
    </x:row>
    <x:row r="10" ht="15" hidden="0" customHeight="1">
      <x:c r="A10" s="62" t="n">
        <x:v>4</x:v>
      </x:c>
      <x:c r="B10" s="55" t="str"/>
      <x:c r="C10" s="55" t="str"/>
      <x:c r="D10" s="56"/>
      <x:c r="E10" s="57"/>
      <x:c r="F10" s="56"/>
      <x:c r="G10" s="58" t="str">
        <x:f>IF(B10="","",SUMIF('费用明细'!$A$7:$A$86,B10,'费用明细'!$G$7:$G$86))</x:f>
      </x:c>
      <x:c r="H10" s="58" t="str">
        <x:f>IF(E10="","",E10+G10)</x:f>
      </x:c>
      <x:c r="I10" s="59"/>
      <x:c r="J10" s="59"/>
      <x:c r="K10" s="59"/>
      <x:c r="L10" s="59"/>
      <x:c r="M10" s="59"/>
      <x:c r="N10" s="59"/>
      <x:c r="O10" s="59"/>
      <x:c r="P10" s="59"/>
      <x:c r="Q10" s="60" t="str">
        <x:f>IF(COUNT(I10:P10)&lt;8,"",ROUND(SUMPRODUCT(I10:P10,$I$4:$P$4)/SUM($I$4:$P$4),2))</x:f>
      </x:c>
      <x:c r="R10" s="55" t="str">
        <x:v>待联系</x:v>
      </x:c>
      <x:c r="S10" s="61"/>
      <x:c r="T10" s="55" t="str"/>
      <x:c r="U10" s="55" t="str"/>
      <x:c r="V10" s="55" t="str"/>
    </x:row>
    <x:row r="11" ht="15" hidden="0" customHeight="1">
      <x:c r="A11" s="62" t="n">
        <x:v>5</x:v>
      </x:c>
      <x:c r="B11" s="55" t="str"/>
      <x:c r="C11" s="55" t="str"/>
      <x:c r="D11" s="56"/>
      <x:c r="E11" s="57"/>
      <x:c r="F11" s="56"/>
      <x:c r="G11" s="58" t="str">
        <x:f>IF(B11="","",SUMIF('费用明细'!$A$7:$A$86,B11,'费用明细'!$G$7:$G$86))</x:f>
      </x:c>
      <x:c r="H11" s="58" t="str">
        <x:f>IF(E11="","",E11+G11)</x:f>
      </x:c>
      <x:c r="I11" s="59"/>
      <x:c r="J11" s="59"/>
      <x:c r="K11" s="59"/>
      <x:c r="L11" s="59"/>
      <x:c r="M11" s="59"/>
      <x:c r="N11" s="59"/>
      <x:c r="O11" s="59"/>
      <x:c r="P11" s="59"/>
      <x:c r="Q11" s="60" t="str">
        <x:f>IF(COUNT(I11:P11)&lt;8,"",ROUND(SUMPRODUCT(I11:P11,$I$4:$P$4)/SUM($I$4:$P$4),2))</x:f>
      </x:c>
      <x:c r="R11" s="55" t="str">
        <x:v>待联系</x:v>
      </x:c>
      <x:c r="S11" s="61"/>
      <x:c r="T11" s="55" t="str"/>
      <x:c r="U11" s="55" t="str"/>
      <x:c r="V11" s="55" t="str"/>
    </x:row>
    <x:row r="12" ht="15" hidden="0" customHeight="1">
      <x:c r="A12" s="62" t="n">
        <x:v>6</x:v>
      </x:c>
      <x:c r="B12" s="55" t="str"/>
      <x:c r="C12" s="55" t="str"/>
      <x:c r="D12" s="56"/>
      <x:c r="E12" s="57"/>
      <x:c r="F12" s="56"/>
      <x:c r="G12" s="58" t="str">
        <x:f>IF(B12="","",SUMIF('费用明细'!$A$7:$A$86,B12,'费用明细'!$G$7:$G$86))</x:f>
      </x:c>
      <x:c r="H12" s="58" t="str">
        <x:f>IF(E12="","",E12+G12)</x:f>
      </x:c>
      <x:c r="I12" s="59"/>
      <x:c r="J12" s="59"/>
      <x:c r="K12" s="59"/>
      <x:c r="L12" s="59"/>
      <x:c r="M12" s="59"/>
      <x:c r="N12" s="59"/>
      <x:c r="O12" s="59"/>
      <x:c r="P12" s="59"/>
      <x:c r="Q12" s="60" t="str">
        <x:f>IF(COUNT(I12:P12)&lt;8,"",ROUND(SUMPRODUCT(I12:P12,$I$4:$P$4)/SUM($I$4:$P$4),2))</x:f>
      </x:c>
      <x:c r="R12" s="55" t="str">
        <x:v>待联系</x:v>
      </x:c>
      <x:c r="S12" s="61"/>
      <x:c r="T12" s="55" t="str"/>
      <x:c r="U12" s="55" t="str"/>
      <x:c r="V12" s="55" t="str"/>
    </x:row>
    <x:row r="13" ht="15" hidden="0" customHeight="1">
      <x:c r="A13" s="62" t="n">
        <x:v>7</x:v>
      </x:c>
      <x:c r="B13" s="55" t="str"/>
      <x:c r="C13" s="55" t="str"/>
      <x:c r="D13" s="56"/>
      <x:c r="E13" s="57"/>
      <x:c r="F13" s="56"/>
      <x:c r="G13" s="58" t="str">
        <x:f>IF(B13="","",SUMIF('费用明细'!$A$7:$A$86,B13,'费用明细'!$G$7:$G$86))</x:f>
      </x:c>
      <x:c r="H13" s="58" t="str">
        <x:f>IF(E13="","",E13+G13)</x:f>
      </x:c>
      <x:c r="I13" s="59"/>
      <x:c r="J13" s="59"/>
      <x:c r="K13" s="59"/>
      <x:c r="L13" s="59"/>
      <x:c r="M13" s="59"/>
      <x:c r="N13" s="59"/>
      <x:c r="O13" s="59"/>
      <x:c r="P13" s="59"/>
      <x:c r="Q13" s="60" t="str">
        <x:f>IF(COUNT(I13:P13)&lt;8,"",ROUND(SUMPRODUCT(I13:P13,$I$4:$P$4)/SUM($I$4:$P$4),2))</x:f>
      </x:c>
      <x:c r="R13" s="55" t="str">
        <x:v>待联系</x:v>
      </x:c>
      <x:c r="S13" s="61"/>
      <x:c r="T13" s="55" t="str"/>
      <x:c r="U13" s="55" t="str"/>
      <x:c r="V13" s="55" t="str"/>
    </x:row>
    <x:row r="14" ht="15" hidden="0" customHeight="1">
      <x:c r="A14" s="62" t="n">
        <x:v>8</x:v>
      </x:c>
      <x:c r="B14" s="55" t="str"/>
      <x:c r="C14" s="55" t="str"/>
      <x:c r="D14" s="56"/>
      <x:c r="E14" s="57"/>
      <x:c r="F14" s="56"/>
      <x:c r="G14" s="58" t="str">
        <x:f>IF(B14="","",SUMIF('费用明细'!$A$7:$A$86,B14,'费用明细'!$G$7:$G$86))</x:f>
      </x:c>
      <x:c r="H14" s="58" t="str">
        <x:f>IF(E14="","",E14+G14)</x:f>
      </x:c>
      <x:c r="I14" s="59"/>
      <x:c r="J14" s="59"/>
      <x:c r="K14" s="59"/>
      <x:c r="L14" s="59"/>
      <x:c r="M14" s="59"/>
      <x:c r="N14" s="59"/>
      <x:c r="O14" s="59"/>
      <x:c r="P14" s="59"/>
      <x:c r="Q14" s="60" t="str">
        <x:f>IF(COUNT(I14:P14)&lt;8,"",ROUND(SUMPRODUCT(I14:P14,$I$4:$P$4)/SUM($I$4:$P$4),2))</x:f>
      </x:c>
      <x:c r="R14" s="55" t="str">
        <x:v>待联系</x:v>
      </x:c>
      <x:c r="S14" s="61"/>
      <x:c r="T14" s="55" t="str"/>
      <x:c r="U14" s="55" t="str"/>
      <x:c r="V14" s="55" t="str"/>
    </x:row>
    <x:row r="15" ht="15" hidden="0" customHeight="1">
      <x:c r="A15" s="62" t="n">
        <x:v>9</x:v>
      </x:c>
      <x:c r="B15" s="55" t="str"/>
      <x:c r="C15" s="55" t="str"/>
      <x:c r="D15" s="56"/>
      <x:c r="E15" s="57"/>
      <x:c r="F15" s="56"/>
      <x:c r="G15" s="58" t="str">
        <x:f>IF(B15="","",SUMIF('费用明细'!$A$7:$A$86,B15,'费用明细'!$G$7:$G$86))</x:f>
      </x:c>
      <x:c r="H15" s="58" t="str">
        <x:f>IF(E15="","",E15+G15)</x:f>
      </x:c>
      <x:c r="I15" s="59"/>
      <x:c r="J15" s="59"/>
      <x:c r="K15" s="59"/>
      <x:c r="L15" s="59"/>
      <x:c r="M15" s="59"/>
      <x:c r="N15" s="59"/>
      <x:c r="O15" s="59"/>
      <x:c r="P15" s="59"/>
      <x:c r="Q15" s="60" t="str">
        <x:f>IF(COUNT(I15:P15)&lt;8,"",ROUND(SUMPRODUCT(I15:P15,$I$4:$P$4)/SUM($I$4:$P$4),2))</x:f>
      </x:c>
      <x:c r="R15" s="55" t="str">
        <x:v>待联系</x:v>
      </x:c>
      <x:c r="S15" s="61"/>
      <x:c r="T15" s="55" t="str"/>
      <x:c r="U15" s="55" t="str"/>
      <x:c r="V15" s="55" t="str"/>
    </x:row>
    <x:row r="16" ht="15" hidden="0" customHeight="1">
      <x:c r="A16" s="62" t="n">
        <x:v>10</x:v>
      </x:c>
      <x:c r="B16" s="55" t="str"/>
      <x:c r="C16" s="55" t="str"/>
      <x:c r="D16" s="56"/>
      <x:c r="E16" s="57"/>
      <x:c r="F16" s="56"/>
      <x:c r="G16" s="58" t="str">
        <x:f>IF(B16="","",SUMIF('费用明细'!$A$7:$A$86,B16,'费用明细'!$G$7:$G$86))</x:f>
      </x:c>
      <x:c r="H16" s="58" t="str">
        <x:f>IF(E16="","",E16+G16)</x:f>
      </x:c>
      <x:c r="I16" s="59"/>
      <x:c r="J16" s="59"/>
      <x:c r="K16" s="59"/>
      <x:c r="L16" s="59"/>
      <x:c r="M16" s="59"/>
      <x:c r="N16" s="59"/>
      <x:c r="O16" s="59"/>
      <x:c r="P16" s="59"/>
      <x:c r="Q16" s="60" t="str">
        <x:f>IF(COUNT(I16:P16)&lt;8,"",ROUND(SUMPRODUCT(I16:P16,$I$4:$P$4)/SUM($I$4:$P$4),2))</x:f>
      </x:c>
      <x:c r="R16" s="55" t="str">
        <x:v>待联系</x:v>
      </x:c>
      <x:c r="S16" s="61"/>
      <x:c r="T16" s="55" t="str"/>
      <x:c r="U16" s="55" t="str"/>
      <x:c r="V16" s="55" t="str"/>
    </x:row>
    <x:row r="17" ht="15" hidden="0" customHeight="1">
      <x:c r="A17" s="62" t="n">
        <x:v>11</x:v>
      </x:c>
      <x:c r="B17" s="55" t="str"/>
      <x:c r="C17" s="55" t="str"/>
      <x:c r="D17" s="56"/>
      <x:c r="E17" s="57"/>
      <x:c r="F17" s="56"/>
      <x:c r="G17" s="58" t="str">
        <x:f>IF(B17="","",SUMIF('费用明细'!$A$7:$A$86,B17,'费用明细'!$G$7:$G$86))</x:f>
      </x:c>
      <x:c r="H17" s="58" t="str">
        <x:f>IF(E17="","",E17+G17)</x:f>
      </x:c>
      <x:c r="I17" s="59"/>
      <x:c r="J17" s="59"/>
      <x:c r="K17" s="59"/>
      <x:c r="L17" s="59"/>
      <x:c r="M17" s="59"/>
      <x:c r="N17" s="59"/>
      <x:c r="O17" s="59"/>
      <x:c r="P17" s="59"/>
      <x:c r="Q17" s="60" t="str">
        <x:f>IF(COUNT(I17:P17)&lt;8,"",ROUND(SUMPRODUCT(I17:P17,$I$4:$P$4)/SUM($I$4:$P$4),2))</x:f>
      </x:c>
      <x:c r="R17" s="55" t="str">
        <x:v>待联系</x:v>
      </x:c>
      <x:c r="S17" s="61"/>
      <x:c r="T17" s="55" t="str"/>
      <x:c r="U17" s="55" t="str"/>
      <x:c r="V17" s="55" t="str"/>
    </x:row>
    <x:row r="18" ht="15" hidden="0" customHeight="1">
      <x:c r="A18" s="62" t="n">
        <x:v>12</x:v>
      </x:c>
      <x:c r="B18" s="55" t="str"/>
      <x:c r="C18" s="55" t="str"/>
      <x:c r="D18" s="56"/>
      <x:c r="E18" s="57"/>
      <x:c r="F18" s="56"/>
      <x:c r="G18" s="58" t="str">
        <x:f>IF(B18="","",SUMIF('费用明细'!$A$7:$A$86,B18,'费用明细'!$G$7:$G$86))</x:f>
      </x:c>
      <x:c r="H18" s="58" t="str">
        <x:f>IF(E18="","",E18+G18)</x:f>
      </x:c>
      <x:c r="I18" s="59"/>
      <x:c r="J18" s="59"/>
      <x:c r="K18" s="59"/>
      <x:c r="L18" s="59"/>
      <x:c r="M18" s="59"/>
      <x:c r="N18" s="59"/>
      <x:c r="O18" s="59"/>
      <x:c r="P18" s="59"/>
      <x:c r="Q18" s="60" t="str">
        <x:f>IF(COUNT(I18:P18)&lt;8,"",ROUND(SUMPRODUCT(I18:P18,$I$4:$P$4)/SUM($I$4:$P$4),2))</x:f>
      </x:c>
      <x:c r="R18" s="55" t="str">
        <x:v>待联系</x:v>
      </x:c>
      <x:c r="S18" s="61"/>
      <x:c r="T18" s="55" t="str"/>
      <x:c r="U18" s="55" t="str"/>
      <x:c r="V18" s="55" t="str"/>
    </x:row>
    <x:row r="19" ht="15" hidden="0" customHeight="1">
      <x:c r="A19" s="62" t="n">
        <x:v>13</x:v>
      </x:c>
      <x:c r="B19" s="55" t="str"/>
      <x:c r="C19" s="55" t="str"/>
      <x:c r="D19" s="56"/>
      <x:c r="E19" s="57"/>
      <x:c r="F19" s="56"/>
      <x:c r="G19" s="58" t="str">
        <x:f>IF(B19="","",SUMIF('费用明细'!$A$7:$A$86,B19,'费用明细'!$G$7:$G$86))</x:f>
      </x:c>
      <x:c r="H19" s="58" t="str">
        <x:f>IF(E19="","",E19+G19)</x:f>
      </x:c>
      <x:c r="I19" s="59"/>
      <x:c r="J19" s="59"/>
      <x:c r="K19" s="59"/>
      <x:c r="L19" s="59"/>
      <x:c r="M19" s="59"/>
      <x:c r="N19" s="59"/>
      <x:c r="O19" s="59"/>
      <x:c r="P19" s="59"/>
      <x:c r="Q19" s="60" t="str">
        <x:f>IF(COUNT(I19:P19)&lt;8,"",ROUND(SUMPRODUCT(I19:P19,$I$4:$P$4)/SUM($I$4:$P$4),2))</x:f>
      </x:c>
      <x:c r="R19" s="55" t="str">
        <x:v>待联系</x:v>
      </x:c>
      <x:c r="S19" s="61"/>
      <x:c r="T19" s="55" t="str"/>
      <x:c r="U19" s="55" t="str"/>
      <x:c r="V19" s="55" t="str"/>
    </x:row>
    <x:row r="20" ht="15" hidden="0" customHeight="1">
      <x:c r="A20" s="62" t="n">
        <x:v>14</x:v>
      </x:c>
      <x:c r="B20" s="55" t="str"/>
      <x:c r="C20" s="55" t="str"/>
      <x:c r="D20" s="56"/>
      <x:c r="E20" s="57"/>
      <x:c r="F20" s="56"/>
      <x:c r="G20" s="58" t="str">
        <x:f>IF(B20="","",SUMIF('费用明细'!$A$7:$A$86,B20,'费用明细'!$G$7:$G$86))</x:f>
      </x:c>
      <x:c r="H20" s="58" t="str">
        <x:f>IF(E20="","",E20+G20)</x:f>
      </x:c>
      <x:c r="I20" s="59"/>
      <x:c r="J20" s="59"/>
      <x:c r="K20" s="59"/>
      <x:c r="L20" s="59"/>
      <x:c r="M20" s="59"/>
      <x:c r="N20" s="59"/>
      <x:c r="O20" s="59"/>
      <x:c r="P20" s="59"/>
      <x:c r="Q20" s="60" t="str">
        <x:f>IF(COUNT(I20:P20)&lt;8,"",ROUND(SUMPRODUCT(I20:P20,$I$4:$P$4)/SUM($I$4:$P$4),2))</x:f>
      </x:c>
      <x:c r="R20" s="55" t="str">
        <x:v>待联系</x:v>
      </x:c>
      <x:c r="S20" s="61"/>
      <x:c r="T20" s="55" t="str"/>
      <x:c r="U20" s="55" t="str"/>
      <x:c r="V20" s="55" t="str"/>
    </x:row>
    <x:row r="21" ht="15" hidden="0" customHeight="1">
      <x:c r="A21" s="62" t="n">
        <x:v>15</x:v>
      </x:c>
      <x:c r="B21" s="55" t="str"/>
      <x:c r="C21" s="55" t="str"/>
      <x:c r="D21" s="56"/>
      <x:c r="E21" s="57"/>
      <x:c r="F21" s="56"/>
      <x:c r="G21" s="58" t="str">
        <x:f>IF(B21="","",SUMIF('费用明细'!$A$7:$A$86,B21,'费用明细'!$G$7:$G$86))</x:f>
      </x:c>
      <x:c r="H21" s="58" t="str">
        <x:f>IF(E21="","",E21+G21)</x:f>
      </x:c>
      <x:c r="I21" s="59"/>
      <x:c r="J21" s="59"/>
      <x:c r="K21" s="59"/>
      <x:c r="L21" s="59"/>
      <x:c r="M21" s="59"/>
      <x:c r="N21" s="59"/>
      <x:c r="O21" s="59"/>
      <x:c r="P21" s="59"/>
      <x:c r="Q21" s="60" t="str">
        <x:f>IF(COUNT(I21:P21)&lt;8,"",ROUND(SUMPRODUCT(I21:P21,$I$4:$P$4)/SUM($I$4:$P$4),2))</x:f>
      </x:c>
      <x:c r="R21" s="55" t="str">
        <x:v>待联系</x:v>
      </x:c>
      <x:c r="S21" s="61"/>
      <x:c r="T21" s="55" t="str"/>
      <x:c r="U21" s="55" t="str"/>
      <x:c r="V21" s="55" t="str"/>
    </x:row>
    <x:row r="22" ht="15" hidden="0" customHeight="1">
      <x:c r="A22" s="62" t="n">
        <x:v>16</x:v>
      </x:c>
      <x:c r="B22" s="55" t="str"/>
      <x:c r="C22" s="55" t="str"/>
      <x:c r="D22" s="56"/>
      <x:c r="E22" s="57"/>
      <x:c r="F22" s="56"/>
      <x:c r="G22" s="58" t="str">
        <x:f>IF(B22="","",SUMIF('费用明细'!$A$7:$A$86,B22,'费用明细'!$G$7:$G$86))</x:f>
      </x:c>
      <x:c r="H22" s="58" t="str">
        <x:f>IF(E22="","",E22+G22)</x:f>
      </x:c>
      <x:c r="I22" s="59"/>
      <x:c r="J22" s="59"/>
      <x:c r="K22" s="59"/>
      <x:c r="L22" s="59"/>
      <x:c r="M22" s="59"/>
      <x:c r="N22" s="59"/>
      <x:c r="O22" s="59"/>
      <x:c r="P22" s="59"/>
      <x:c r="Q22" s="60" t="str">
        <x:f>IF(COUNT(I22:P22)&lt;8,"",ROUND(SUMPRODUCT(I22:P22,$I$4:$P$4)/SUM($I$4:$P$4),2))</x:f>
      </x:c>
      <x:c r="R22" s="55" t="str">
        <x:v>待联系</x:v>
      </x:c>
      <x:c r="S22" s="61"/>
      <x:c r="T22" s="55" t="str"/>
      <x:c r="U22" s="55" t="str"/>
      <x:c r="V22" s="55" t="str"/>
    </x:row>
    <x:row r="23" ht="15" hidden="0" customHeight="1">
      <x:c r="A23" s="62" t="n">
        <x:v>17</x:v>
      </x:c>
      <x:c r="B23" s="55" t="str"/>
      <x:c r="C23" s="55" t="str"/>
      <x:c r="D23" s="56"/>
      <x:c r="E23" s="57"/>
      <x:c r="F23" s="56"/>
      <x:c r="G23" s="58" t="str">
        <x:f>IF(B23="","",SUMIF('费用明细'!$A$7:$A$86,B23,'费用明细'!$G$7:$G$86))</x:f>
      </x:c>
      <x:c r="H23" s="58" t="str">
        <x:f>IF(E23="","",E23+G23)</x:f>
      </x:c>
      <x:c r="I23" s="59"/>
      <x:c r="J23" s="59"/>
      <x:c r="K23" s="59"/>
      <x:c r="L23" s="59"/>
      <x:c r="M23" s="59"/>
      <x:c r="N23" s="59"/>
      <x:c r="O23" s="59"/>
      <x:c r="P23" s="59"/>
      <x:c r="Q23" s="60" t="str">
        <x:f>IF(COUNT(I23:P23)&lt;8,"",ROUND(SUMPRODUCT(I23:P23,$I$4:$P$4)/SUM($I$4:$P$4),2))</x:f>
      </x:c>
      <x:c r="R23" s="55" t="str">
        <x:v>待联系</x:v>
      </x:c>
      <x:c r="S23" s="61"/>
      <x:c r="T23" s="55" t="str"/>
      <x:c r="U23" s="55" t="str"/>
      <x:c r="V23" s="55" t="str"/>
    </x:row>
    <x:row r="24" ht="15" hidden="0" customHeight="1">
      <x:c r="A24" s="62" t="n">
        <x:v>18</x:v>
      </x:c>
      <x:c r="B24" s="55" t="str"/>
      <x:c r="C24" s="55" t="str"/>
      <x:c r="D24" s="56"/>
      <x:c r="E24" s="57"/>
      <x:c r="F24" s="56"/>
      <x:c r="G24" s="58" t="str">
        <x:f>IF(B24="","",SUMIF('费用明细'!$A$7:$A$86,B24,'费用明细'!$G$7:$G$86))</x:f>
      </x:c>
      <x:c r="H24" s="58" t="str">
        <x:f>IF(E24="","",E24+G24)</x:f>
      </x:c>
      <x:c r="I24" s="59"/>
      <x:c r="J24" s="59"/>
      <x:c r="K24" s="59"/>
      <x:c r="L24" s="59"/>
      <x:c r="M24" s="59"/>
      <x:c r="N24" s="59"/>
      <x:c r="O24" s="59"/>
      <x:c r="P24" s="59"/>
      <x:c r="Q24" s="60" t="str">
        <x:f>IF(COUNT(I24:P24)&lt;8,"",ROUND(SUMPRODUCT(I24:P24,$I$4:$P$4)/SUM($I$4:$P$4),2))</x:f>
      </x:c>
      <x:c r="R24" s="55" t="str">
        <x:v>待联系</x:v>
      </x:c>
      <x:c r="S24" s="61"/>
      <x:c r="T24" s="55" t="str"/>
      <x:c r="U24" s="55" t="str"/>
      <x:c r="V24" s="55" t="str"/>
    </x:row>
    <x:row r="25" ht="15" hidden="0" customHeight="1">
      <x:c r="A25" s="62" t="n">
        <x:v>19</x:v>
      </x:c>
      <x:c r="B25" s="55" t="str"/>
      <x:c r="C25" s="55" t="str"/>
      <x:c r="D25" s="56"/>
      <x:c r="E25" s="57"/>
      <x:c r="F25" s="56"/>
      <x:c r="G25" s="58" t="str">
        <x:f>IF(B25="","",SUMIF('费用明细'!$A$7:$A$86,B25,'费用明细'!$G$7:$G$86))</x:f>
      </x:c>
      <x:c r="H25" s="58" t="str">
        <x:f>IF(E25="","",E25+G25)</x:f>
      </x:c>
      <x:c r="I25" s="59"/>
      <x:c r="J25" s="59"/>
      <x:c r="K25" s="59"/>
      <x:c r="L25" s="59"/>
      <x:c r="M25" s="59"/>
      <x:c r="N25" s="59"/>
      <x:c r="O25" s="59"/>
      <x:c r="P25" s="59"/>
      <x:c r="Q25" s="60" t="str">
        <x:f>IF(COUNT(I25:P25)&lt;8,"",ROUND(SUMPRODUCT(I25:P25,$I$4:$P$4)/SUM($I$4:$P$4),2))</x:f>
      </x:c>
      <x:c r="R25" s="55" t="str">
        <x:v>待联系</x:v>
      </x:c>
      <x:c r="S25" s="61"/>
      <x:c r="T25" s="55" t="str"/>
      <x:c r="U25" s="55" t="str"/>
      <x:c r="V25" s="55" t="str"/>
    </x:row>
    <x:row r="26" ht="15" hidden="0" customHeight="1">
      <x:c r="A26" s="62" t="n">
        <x:v>20</x:v>
      </x:c>
      <x:c r="B26" s="55" t="str"/>
      <x:c r="C26" s="55" t="str"/>
      <x:c r="D26" s="56"/>
      <x:c r="E26" s="57"/>
      <x:c r="F26" s="56"/>
      <x:c r="G26" s="58" t="str">
        <x:f>IF(B26="","",SUMIF('费用明细'!$A$7:$A$86,B26,'费用明细'!$G$7:$G$86))</x:f>
      </x:c>
      <x:c r="H26" s="58" t="str">
        <x:f>IF(E26="","",E26+G26)</x:f>
      </x:c>
      <x:c r="I26" s="59"/>
      <x:c r="J26" s="59"/>
      <x:c r="K26" s="59"/>
      <x:c r="L26" s="59"/>
      <x:c r="M26" s="59"/>
      <x:c r="N26" s="59"/>
      <x:c r="O26" s="59"/>
      <x:c r="P26" s="59"/>
      <x:c r="Q26" s="60" t="str">
        <x:f>IF(COUNT(I26:P26)&lt;8,"",ROUND(SUMPRODUCT(I26:P26,$I$4:$P$4)/SUM($I$4:$P$4),2))</x:f>
      </x:c>
      <x:c r="R26" s="55" t="str">
        <x:v>待联系</x:v>
      </x:c>
      <x:c r="S26" s="61"/>
      <x:c r="T26" s="55" t="str"/>
      <x:c r="U26" s="55" t="str"/>
      <x:c r="V26" s="55" t="str"/>
    </x:row>
  </x:sheetData>
  <x:conditionalFormatting sqref="Q7:Q26">
    <x:cfRule type="cellIs" dxfId="0" priority="1" operator="greaterThanOrEqual">
      <x:formula>4</x:formula>
    </x:cfRule>
    <x:cfRule type="cellIs" dxfId="1" priority="2" operator="between">
      <x:formula>3</x:formula>
      <x:formula>3.99</x:formula>
    </x:cfRule>
    <x:cfRule type="cellIs" dxfId="2" priority="3" operator="lessThan">
      <x:formula>3</x:formula>
    </x:cfRule>
  </x:conditionalFormatting>
  <x:conditionalFormatting sqref="R7:R26">
    <x:cfRule type="containsText" dxfId="3" priority="4" operator="containsText" text="已签约"/>
    <x:cfRule type="containsText" dxfId="4" priority="5" operator="containsText" text="排除"/>
  </x:conditionalFormatting>
  <x:dataValidations count="2">
    <x:dataValidation type="whole" operator="between" sqref="I7:P26">
      <x:formula1>1</x:formula1>
      <x:formula2>5</x:formula2>
    </x:dataValidation>
    <x:dataValidation type="list" sqref="R7:R26">
      <x:formula1>"待联系,已预约,已考察,进入决选,排除,已签约"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4cbe3da9df43b2"/>
  </x:tableParts>
</x:worksheet>
</file>

<file path=xl/worksheets/sheet3.xml><?xml version="1.0" encoding="utf-8"?>
<x:worksheet xmlns:x="http://schemas.openxmlformats.org/spreadsheetml/2006/main">
  <x:sheetPr>
    <x:tabColor rgb="FF4F8A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8" hidden="0" customWidth="1"/>
    <x:col min="4" max="4" width="10" hidden="0" customWidth="1"/>
    <x:col min="5" max="5" width="18" hidden="0" customWidth="1"/>
    <x:col min="6" max="6" width="12" hidden="0" customWidth="1"/>
    <x:col min="7" max="7" width="12" hidden="0" customWidth="1"/>
    <x:col min="8" max="8" width="34" hidden="0" customWidth="1"/>
    <x:col min="9" max="9" width="24" hidden="0" customWidth="1"/>
  </x:cols>
  <x:sheetData>
    <x:row r="1" ht="19.200000762939453" hidden="0" customHeight="1">
      <x:c r="A1" s="4" t="str">
        <x:v>现场考察清单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6" t="str">
        <x:v>每考察一家机构，可复制整组条目并填写机构名称、核对结果、得分和现场记录。未确认项目保持空白。</x:v>
      </x:c>
      <x:c r="B2" s="6"/>
      <x:c r="C2" s="6"/>
      <x:c r="D2" s="6"/>
      <x:c r="E2" s="6"/>
      <x:c r="F2" s="6"/>
      <x:c r="G2" s="6"/>
      <x:c r="H2" s="6"/>
      <x:c r="I2" s="6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15" hidden="0" customHeight="1">
      <x:c r="A4" s="64" t="str">
        <x:v>评分说明</x:v>
      </x:c>
      <x:c r="B4" s="64" t="str">
        <x:v>1＝明显不满足；2＝较弱；3＝基本满足；4＝较好；5＝证据充分且符合家庭需要。</x:v>
      </x:c>
      <x:c r="C4" s="64" t="str"/>
      <x:c r="D4" s="64" t="str"/>
      <x:c r="E4" s="64" t="str"/>
      <x:c r="F4" s="64" t="str"/>
      <x:c r="G4" s="64" t="str"/>
      <x:c r="H4" s="64" t="str"/>
      <x:c r="I4" s="64" t="str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15" hidden="0" customHeight="1">
      <x:c r="A6" s="52" t="str">
        <x:v>类别</x:v>
      </x:c>
      <x:c r="B6" s="53" t="str">
        <x:v>核对项目</x:v>
      </x:c>
      <x:c r="C6" s="53" t="str">
        <x:v>建议核对方式</x:v>
      </x:c>
      <x:c r="D6" s="53" t="str">
        <x:v>重要性</x:v>
      </x:c>
      <x:c r="E6" s="53" t="str">
        <x:v>机构名称</x:v>
      </x:c>
      <x:c r="F6" s="53" t="str">
        <x:v>核对结果</x:v>
      </x:c>
      <x:c r="G6" s="53" t="str">
        <x:v>得分(1-5)</x:v>
      </x:c>
      <x:c r="H6" s="53" t="str">
        <x:v>现场记录</x:v>
      </x:c>
      <x:c r="I6" s="54" t="str">
        <x:v>证据/合同位置</x:v>
      </x:c>
    </x:row>
    <x:row r="7" ht="15" hidden="0" customHeight="1">
      <x:c r="A7" s="15" t="str">
        <x:v>机构与边界</x:v>
      </x:c>
      <x:c r="B7" s="15" t="str">
        <x:v>营业执照登记信息与签约、收款主体一致</x:v>
      </x:c>
      <x:c r="C7" s="15" t="str">
        <x:v>查看公开登记信息、合同抬头和收款账户主体</x:v>
      </x:c>
      <x:c r="D7" s="15" t="str">
        <x:v>关键</x:v>
      </x:c>
      <x:c r="E7" s="55" t="str"/>
      <x:c r="F7" s="55" t="str">
        <x:v>未核对</x:v>
      </x:c>
      <x:c r="G7" s="55"/>
      <x:c r="H7" s="55" t="str"/>
      <x:c r="I7" s="55" t="str"/>
    </x:row>
    <x:row r="8" ht="15" hidden="0" customHeight="1">
      <x:c r="A8" s="15" t="str">
        <x:v>机构与边界</x:v>
      </x:c>
      <x:c r="B8" s="15" t="str">
        <x:v>服务项目明确区分生活照护与医疗诊疗</x:v>
      </x:c>
      <x:c r="C8" s="15" t="str">
        <x:v>查看服务清单，询问异常情况由谁判断和转诊</x:v>
      </x:c>
      <x:c r="D8" s="15" t="str">
        <x:v>关键</x:v>
      </x:c>
      <x:c r="E8" s="55" t="str"/>
      <x:c r="F8" s="55" t="str">
        <x:v>未核对</x:v>
      </x:c>
      <x:c r="G8" s="55"/>
      <x:c r="H8" s="55" t="str"/>
      <x:c r="I8" s="55" t="str"/>
    </x:row>
    <x:row r="9" ht="15" hidden="0" customHeight="1">
      <x:c r="A9" s="15" t="str">
        <x:v>机构与边界</x:v>
      </x:c>
      <x:c r="B9" s="15" t="str">
        <x:v>宣传承诺能写入合同或附件</x:v>
      </x:c>
      <x:c r="C9" s="15" t="str">
        <x:v>将口头承诺逐项对应到合同条款</x:v>
      </x:c>
      <x:c r="D9" s="15" t="str">
        <x:v>关键</x:v>
      </x:c>
      <x:c r="E9" s="55" t="str"/>
      <x:c r="F9" s="55" t="str">
        <x:v>未核对</x:v>
      </x:c>
      <x:c r="G9" s="55"/>
      <x:c r="H9" s="55" t="str"/>
      <x:c r="I9" s="55" t="str"/>
    </x:row>
    <x:row r="10" ht="15" hidden="0" customHeight="1">
      <x:c r="A10" s="15" t="str">
        <x:v>人员资质</x:v>
      </x:c>
      <x:c r="B10" s="15" t="str">
        <x:v>护理人员岗位、资质和培训记录可核验</x:v>
      </x:c>
      <x:c r="C10" s="15" t="str">
        <x:v>查看证书类型、有效期及排班安排</x:v>
      </x:c>
      <x:c r="D10" s="15" t="str">
        <x:v>关键</x:v>
      </x:c>
      <x:c r="E10" s="55" t="str"/>
      <x:c r="F10" s="55" t="str">
        <x:v>未核对</x:v>
      </x:c>
      <x:c r="G10" s="55"/>
      <x:c r="H10" s="55" t="str"/>
      <x:c r="I10" s="55" t="str"/>
    </x:row>
    <x:row r="11" ht="15" hidden="0" customHeight="1">
      <x:c r="A11" s="15" t="str">
        <x:v>人员资质</x:v>
      </x:c>
      <x:c r="B11" s="15" t="str">
        <x:v>营养、康复、哺乳支持等人员职责边界清晰</x:v>
      </x:c>
      <x:c r="C11" s="15" t="str">
        <x:v>询问由谁提供、是否另收费、何时转医</x:v>
      </x:c>
      <x:c r="D11" s="15" t="str">
        <x:v>重要</x:v>
      </x:c>
      <x:c r="E11" s="55" t="str"/>
      <x:c r="F11" s="55" t="str">
        <x:v>未核对</x:v>
      </x:c>
      <x:c r="G11" s="55"/>
      <x:c r="H11" s="55" t="str"/>
      <x:c r="I11" s="55" t="str"/>
    </x:row>
    <x:row r="12" ht="15" hidden="0" customHeight="1">
      <x:c r="A12" s="15" t="str">
        <x:v>人员资质</x:v>
      </x:c>
      <x:c r="B12" s="15" t="str">
        <x:v>白天与夜间实际照护人员数量明确</x:v>
      </x:c>
      <x:c r="C12" s="15" t="str">
        <x:v>按满房状态询问排班和同时照护人数</x:v>
      </x:c>
      <x:c r="D12" s="15" t="str">
        <x:v>关键</x:v>
      </x:c>
      <x:c r="E12" s="55" t="str"/>
      <x:c r="F12" s="55" t="str">
        <x:v>未核对</x:v>
      </x:c>
      <x:c r="G12" s="55"/>
      <x:c r="H12" s="55" t="str"/>
      <x:c r="I12" s="55" t="str"/>
    </x:row>
    <x:row r="13" ht="15" hidden="0" customHeight="1">
      <x:c r="A13" s="15" t="str">
        <x:v>医疗与应急</x:v>
      </x:c>
      <x:c r="B13" s="15" t="str">
        <x:v>母婴异常识别、通知家属和转诊流程明确</x:v>
      </x:c>
      <x:c r="C13" s="15" t="str">
        <x:v>要求说明常见场景、责任人、车辆和接收医院</x:v>
      </x:c>
      <x:c r="D13" s="15" t="str">
        <x:v>关键</x:v>
      </x:c>
      <x:c r="E13" s="55" t="str"/>
      <x:c r="F13" s="55" t="str">
        <x:v>未核对</x:v>
      </x:c>
      <x:c r="G13" s="55"/>
      <x:c r="H13" s="55" t="str"/>
      <x:c r="I13" s="55" t="str"/>
    </x:row>
    <x:row r="14" ht="15" hidden="0" customHeight="1">
      <x:c r="A14" s="15" t="str">
        <x:v>医疗与应急</x:v>
      </x:c>
      <x:c r="B14" s="15" t="str">
        <x:v>紧急情况记录和交接机制明确</x:v>
      </x:c>
      <x:c r="C14" s="15" t="str">
        <x:v>查看记录样式并询问谁签字确认</x:v>
      </x:c>
      <x:c r="D14" s="15" t="str">
        <x:v>关键</x:v>
      </x:c>
      <x:c r="E14" s="55" t="str"/>
      <x:c r="F14" s="55" t="str">
        <x:v>未核对</x:v>
      </x:c>
      <x:c r="G14" s="55"/>
      <x:c r="H14" s="55" t="str"/>
      <x:c r="I14" s="55" t="str"/>
    </x:row>
    <x:row r="15" ht="15" hidden="0" customHeight="1">
      <x:c r="A15" s="15" t="str">
        <x:v>医疗与应急</x:v>
      </x:c>
      <x:c r="B15" s="15" t="str">
        <x:v>不以内部服务替代医院产后访视和健康检查</x:v>
      </x:c>
      <x:c r="C15" s="15" t="str">
        <x:v>确认产后访视、42 天检查等仍按医疗安排完成</x:v>
      </x:c>
      <x:c r="D15" s="15" t="str">
        <x:v>关键</x:v>
      </x:c>
      <x:c r="E15" s="55" t="str"/>
      <x:c r="F15" s="55" t="str">
        <x:v>未核对</x:v>
      </x:c>
      <x:c r="G15" s="55"/>
      <x:c r="H15" s="55" t="str"/>
      <x:c r="I15" s="55" t="str"/>
    </x:row>
    <x:row r="16" ht="15" hidden="0" customHeight="1">
      <x:c r="A16" s="15" t="str">
        <x:v>医疗与应急</x:v>
      </x:c>
      <x:c r="B16" s="15" t="str">
        <x:v>用药、处置和所谓治疗项目边界清楚</x:v>
      </x:c>
      <x:c r="C16" s="15" t="str">
        <x:v>发现涉及诊断、开药、侵入操作时核对合法资质</x:v>
      </x:c>
      <x:c r="D16" s="15" t="str">
        <x:v>关键</x:v>
      </x:c>
      <x:c r="E16" s="55" t="str"/>
      <x:c r="F16" s="55" t="str">
        <x:v>未核对</x:v>
      </x:c>
      <x:c r="G16" s="55"/>
      <x:c r="H16" s="55" t="str"/>
      <x:c r="I16" s="55" t="str"/>
    </x:row>
    <x:row r="17" ht="15" hidden="0" customHeight="1">
      <x:c r="A17" s="15" t="str">
        <x:v>卫生与感染</x:v>
      </x:c>
      <x:c r="B17" s="15" t="str">
        <x:v>访客、员工和外来物品的准入规则明确</x:v>
      </x:c>
      <x:c r="C17" s="15" t="str">
        <x:v>查看探视、健康异常和隔离制度</x:v>
      </x:c>
      <x:c r="D17" s="15" t="str">
        <x:v>关键</x:v>
      </x:c>
      <x:c r="E17" s="55" t="str"/>
      <x:c r="F17" s="55" t="str">
        <x:v>未核对</x:v>
      </x:c>
      <x:c r="G17" s="55"/>
      <x:c r="H17" s="55" t="str"/>
      <x:c r="I17" s="55" t="str"/>
    </x:row>
    <x:row r="18" ht="15" hidden="0" customHeight="1">
      <x:c r="A18" s="15" t="str">
        <x:v>卫生与感染</x:v>
      </x:c>
      <x:c r="B18" s="15" t="str">
        <x:v>婴儿用品、奶具、布草的清洁消毒流程明确</x:v>
      </x:c>
      <x:c r="C18" s="15" t="str">
        <x:v>询问分区、频次、责任人和记录方式</x:v>
      </x:c>
      <x:c r="D18" s="15" t="str">
        <x:v>关键</x:v>
      </x:c>
      <x:c r="E18" s="55" t="str"/>
      <x:c r="F18" s="55" t="str">
        <x:v>未核对</x:v>
      </x:c>
      <x:c r="G18" s="55"/>
      <x:c r="H18" s="55" t="str"/>
      <x:c r="I18" s="55" t="str"/>
    </x:row>
    <x:row r="19" ht="15" hidden="0" customHeight="1">
      <x:c r="A19" s="15" t="str">
        <x:v>卫生与感染</x:v>
      </x:c>
      <x:c r="B19" s="15" t="str">
        <x:v>手卫生和交叉感染预防可现场观察</x:v>
      </x:c>
      <x:c r="C19" s="15" t="str">
        <x:v>观察洗手设施、操作流程和人员执行</x:v>
      </x:c>
      <x:c r="D19" s="15" t="str">
        <x:v>关键</x:v>
      </x:c>
      <x:c r="E19" s="55" t="str"/>
      <x:c r="F19" s="55" t="str">
        <x:v>未核对</x:v>
      </x:c>
      <x:c r="G19" s="55"/>
      <x:c r="H19" s="55" t="str"/>
      <x:c r="I19" s="55" t="str"/>
    </x:row>
    <x:row r="20" ht="15" hidden="0" customHeight="1">
      <x:c r="A20" s="15" t="str">
        <x:v>卫生与感染</x:v>
      </x:c>
      <x:c r="B20" s="15" t="str">
        <x:v>出现发热、腹泻、皮疹等异常时有隔离与报告流程</x:v>
      </x:c>
      <x:c r="C20" s="15" t="str">
        <x:v>询问近期演练或实际处置流程</x:v>
      </x:c>
      <x:c r="D20" s="15" t="str">
        <x:v>关键</x:v>
      </x:c>
      <x:c r="E20" s="55" t="str"/>
      <x:c r="F20" s="55" t="str">
        <x:v>未核对</x:v>
      </x:c>
      <x:c r="G20" s="55"/>
      <x:c r="H20" s="55" t="str"/>
      <x:c r="I20" s="55" t="str"/>
    </x:row>
    <x:row r="21" ht="15" hidden="0" customHeight="1">
      <x:c r="A21" s="15" t="str">
        <x:v>消防与环境</x:v>
      </x:c>
      <x:c r="B21" s="15" t="str">
        <x:v>消防通道、疏散标识和应急照明清楚</x:v>
      </x:c>
      <x:c r="C21" s="15" t="str">
        <x:v>现场查看通道是否畅通、是否锁闭</x:v>
      </x:c>
      <x:c r="D21" s="15" t="str">
        <x:v>关键</x:v>
      </x:c>
      <x:c r="E21" s="55" t="str"/>
      <x:c r="F21" s="55" t="str">
        <x:v>未核对</x:v>
      </x:c>
      <x:c r="G21" s="55"/>
      <x:c r="H21" s="55" t="str"/>
      <x:c r="I21" s="55" t="str"/>
    </x:row>
    <x:row r="22" ht="15" hidden="0" customHeight="1">
      <x:c r="A22" s="15" t="str">
        <x:v>消防与环境</x:v>
      </x:c>
      <x:c r="B22" s="15" t="str">
        <x:v>房间采光、通风、温湿度和噪声可接受</x:v>
      </x:c>
      <x:c r="C22" s="15" t="str">
        <x:v>在计划入住时段实地体验</x:v>
      </x:c>
      <x:c r="D22" s="15" t="str">
        <x:v>重要</x:v>
      </x:c>
      <x:c r="E22" s="55" t="str"/>
      <x:c r="F22" s="55" t="str">
        <x:v>未核对</x:v>
      </x:c>
      <x:c r="G22" s="55"/>
      <x:c r="H22" s="55" t="str"/>
      <x:c r="I22" s="55" t="str"/>
    </x:row>
    <x:row r="23" ht="15" hidden="0" customHeight="1">
      <x:c r="A23" s="15" t="str">
        <x:v>消防与环境</x:v>
      </x:c>
      <x:c r="B23" s="15" t="str">
        <x:v>电梯、楼层、停车和家属进出便利</x:v>
      </x:c>
      <x:c r="C23" s="15" t="str">
        <x:v>模拟从停车或下车点到房间的路线</x:v>
      </x:c>
      <x:c r="D23" s="15" t="str">
        <x:v>一般</x:v>
      </x:c>
      <x:c r="E23" s="55" t="str"/>
      <x:c r="F23" s="55" t="str">
        <x:v>未核对</x:v>
      </x:c>
      <x:c r="G23" s="55"/>
      <x:c r="H23" s="55" t="str"/>
      <x:c r="I23" s="55" t="str"/>
    </x:row>
    <x:row r="24" ht="15" hidden="0" customHeight="1">
      <x:c r="A24" s="15" t="str">
        <x:v>消防与环境</x:v>
      </x:c>
      <x:c r="B24" s="15" t="str">
        <x:v>装修气味、卫生间防滑和家具边角风险可接受</x:v>
      </x:c>
      <x:c r="C24" s="15" t="str">
        <x:v>现场查看并记录实际情况</x:v>
      </x:c>
      <x:c r="D24" s="15" t="str">
        <x:v>重要</x:v>
      </x:c>
      <x:c r="E24" s="55" t="str"/>
      <x:c r="F24" s="55" t="str">
        <x:v>未核对</x:v>
      </x:c>
      <x:c r="G24" s="55"/>
      <x:c r="H24" s="55" t="str"/>
      <x:c r="I24" s="55" t="str"/>
    </x:row>
    <x:row r="25" ht="15" hidden="0" customHeight="1">
      <x:c r="A25" s="15" t="str">
        <x:v>母婴照护</x:v>
      </x:c>
      <x:c r="B25" s="15" t="str">
        <x:v>母婴同室、婴儿托管和夜间照护可自主选择</x:v>
      </x:c>
      <x:c r="C25" s="15" t="str">
        <x:v>核对默认安排、变更方式和额外费用</x:v>
      </x:c>
      <x:c r="D25" s="15" t="str">
        <x:v>关键</x:v>
      </x:c>
      <x:c r="E25" s="55" t="str"/>
      <x:c r="F25" s="55" t="str">
        <x:v>未核对</x:v>
      </x:c>
      <x:c r="G25" s="55"/>
      <x:c r="H25" s="55" t="str"/>
      <x:c r="I25" s="55" t="str"/>
    </x:row>
    <x:row r="26" ht="15" hidden="0" customHeight="1">
      <x:c r="A26" s="15" t="str">
        <x:v>母婴照护</x:v>
      </x:c>
      <x:c r="B26" s="15" t="str">
        <x:v>喂养支持尊重家庭与医生确定的方案</x:v>
      </x:c>
      <x:c r="C26" s="15" t="str">
        <x:v>询问记录、交接、配方奶使用和异常反馈</x:v>
      </x:c>
      <x:c r="D26" s="15" t="str">
        <x:v>关键</x:v>
      </x:c>
      <x:c r="E26" s="55" t="str"/>
      <x:c r="F26" s="55" t="str">
        <x:v>未核对</x:v>
      </x:c>
      <x:c r="G26" s="55"/>
      <x:c r="H26" s="55" t="str"/>
      <x:c r="I26" s="55" t="str"/>
    </x:row>
    <x:row r="27" ht="15" hidden="0" customHeight="1">
      <x:c r="A27" s="15" t="str">
        <x:v>母婴照护</x:v>
      </x:c>
      <x:c r="B27" s="15" t="str">
        <x:v>宝宝体温、喂养、排泄等日常记录可查看</x:v>
      </x:c>
      <x:c r="C27" s="15" t="str">
        <x:v>查看脱敏样表和交接方式</x:v>
      </x:c>
      <x:c r="D27" s="15" t="str">
        <x:v>重要</x:v>
      </x:c>
      <x:c r="E27" s="55" t="str"/>
      <x:c r="F27" s="55" t="str">
        <x:v>未核对</x:v>
      </x:c>
      <x:c r="G27" s="55"/>
      <x:c r="H27" s="55" t="str"/>
      <x:c r="I27" s="55" t="str"/>
    </x:row>
    <x:row r="28" ht="15" hidden="0" customHeight="1">
      <x:c r="A28" s="15" t="str">
        <x:v>母婴照护</x:v>
      </x:c>
      <x:c r="B28" s="15" t="str">
        <x:v>妈妈休息、清洁和伤口异常的转医提醒流程明确</x:v>
      </x:c>
      <x:c r="C28" s="15" t="str">
        <x:v>询问观察边界、通知方式和就医安排</x:v>
      </x:c>
      <x:c r="D28" s="15" t="str">
        <x:v>关键</x:v>
      </x:c>
      <x:c r="E28" s="55" t="str"/>
      <x:c r="F28" s="55" t="str">
        <x:v>未核对</x:v>
      </x:c>
      <x:c r="G28" s="55"/>
      <x:c r="H28" s="55" t="str"/>
      <x:c r="I28" s="55" t="str"/>
    </x:row>
    <x:row r="29" ht="15" hidden="0" customHeight="1">
      <x:c r="A29" s="15" t="str">
        <x:v>餐饮服务</x:v>
      </x:c>
      <x:c r="B29" s="15" t="str">
        <x:v>菜单、加餐、过敏与特殊需求调整机制明确</x:v>
      </x:c>
      <x:c r="C29" s="15" t="str">
        <x:v>查看周期菜单，确认调整条件和额外费用</x:v>
      </x:c>
      <x:c r="D29" s="15" t="str">
        <x:v>重要</x:v>
      </x:c>
      <x:c r="E29" s="55" t="str"/>
      <x:c r="F29" s="55" t="str">
        <x:v>未核对</x:v>
      </x:c>
      <x:c r="G29" s="55"/>
      <x:c r="H29" s="55" t="str"/>
      <x:c r="I29" s="55" t="str"/>
    </x:row>
    <x:row r="30" ht="15" hidden="0" customHeight="1">
      <x:c r="A30" s="15" t="str">
        <x:v>餐饮服务</x:v>
      </x:c>
      <x:c r="B30" s="15" t="str">
        <x:v>食品来源、加工环境、留样或追溯方式可说明</x:v>
      </x:c>
      <x:c r="C30" s="15" t="str">
        <x:v>查看厨房或公开管理信息，询问记录方式</x:v>
      </x:c>
      <x:c r="D30" s="15" t="str">
        <x:v>关键</x:v>
      </x:c>
      <x:c r="E30" s="55" t="str"/>
      <x:c r="F30" s="55" t="str">
        <x:v>未核对</x:v>
      </x:c>
      <x:c r="G30" s="55"/>
      <x:c r="H30" s="55" t="str"/>
      <x:c r="I30" s="55" t="str"/>
    </x:row>
    <x:row r="31" ht="15" hidden="0" customHeight="1">
      <x:c r="A31" s="15" t="str">
        <x:v>餐饮服务</x:v>
      </x:c>
      <x:c r="B31" s="15" t="str">
        <x:v>家属餐、配送、餐具和退餐规则明确</x:v>
      </x:c>
      <x:c r="C31" s="15" t="str">
        <x:v>核对次数、时间、价格和退款方式</x:v>
      </x:c>
      <x:c r="D31" s="15" t="str">
        <x:v>一般</x:v>
      </x:c>
      <x:c r="E31" s="55" t="str"/>
      <x:c r="F31" s="55" t="str">
        <x:v>未核对</x:v>
      </x:c>
      <x:c r="G31" s="55"/>
      <x:c r="H31" s="55" t="str"/>
      <x:c r="I31" s="55" t="str"/>
    </x:row>
    <x:row r="32" ht="15" hidden="0" customHeight="1">
      <x:c r="A32" s="15" t="str">
        <x:v>合同与退费</x:v>
      </x:c>
      <x:c r="B32" s="15" t="str">
        <x:v>套餐项目、次数、服务时长和赠送项目逐项列明</x:v>
      </x:c>
      <x:c r="C32" s="15" t="str">
        <x:v>用附件列出项目，不接受模糊的“以实际为准”</x:v>
      </x:c>
      <x:c r="D32" s="15" t="str">
        <x:v>关键</x:v>
      </x:c>
      <x:c r="E32" s="55" t="str"/>
      <x:c r="F32" s="55" t="str">
        <x:v>未核对</x:v>
      </x:c>
      <x:c r="G32" s="55"/>
      <x:c r="H32" s="55" t="str"/>
      <x:c r="I32" s="55" t="str"/>
    </x:row>
    <x:row r="33" ht="15" hidden="0" customHeight="1">
      <x:c r="A33" s="15" t="str">
        <x:v>合同与退费</x:v>
      </x:c>
      <x:c r="B33" s="15" t="str">
        <x:v>定金、订金、尾款和发票规则明确</x:v>
      </x:c>
      <x:c r="C33" s="15" t="str">
        <x:v>核对付款节点、收款主体和发票项目</x:v>
      </x:c>
      <x:c r="D33" s="15" t="str">
        <x:v>关键</x:v>
      </x:c>
      <x:c r="E33" s="55" t="str"/>
      <x:c r="F33" s="55" t="str">
        <x:v>未核对</x:v>
      </x:c>
      <x:c r="G33" s="55"/>
      <x:c r="H33" s="55" t="str"/>
      <x:c r="I33" s="55" t="str"/>
    </x:row>
    <x:row r="34" ht="15" hidden="0" customHeight="1">
      <x:c r="A34" s="15" t="str">
        <x:v>合同与退费</x:v>
      </x:c>
      <x:c r="B34" s="15" t="str">
        <x:v>早产、延迟入住、延住、换房和转院结算明确</x:v>
      </x:c>
      <x:c r="C34" s="15" t="str">
        <x:v>逐项查看触发条件、差价和退款公式</x:v>
      </x:c>
      <x:c r="D34" s="15" t="str">
        <x:v>关键</x:v>
      </x:c>
      <x:c r="E34" s="55" t="str"/>
      <x:c r="F34" s="55" t="str">
        <x:v>未核对</x:v>
      </x:c>
      <x:c r="G34" s="55"/>
      <x:c r="H34" s="55" t="str"/>
      <x:c r="I34" s="55" t="str"/>
    </x:row>
    <x:row r="35" ht="15" hidden="0" customHeight="1">
      <x:c r="A35" s="15" t="str">
        <x:v>合同与退费</x:v>
      </x:c>
      <x:c r="B35" s="15" t="str">
        <x:v>取消、退订、不可抗力和机构违约条款明确</x:v>
      </x:c>
      <x:c r="C35" s="15" t="str">
        <x:v>核对违约金、退款时限和证据要求</x:v>
      </x:c>
      <x:c r="D35" s="15" t="str">
        <x:v>关键</x:v>
      </x:c>
      <x:c r="E35" s="55" t="str"/>
      <x:c r="F35" s="55" t="str">
        <x:v>未核对</x:v>
      </x:c>
      <x:c r="G35" s="55"/>
      <x:c r="H35" s="55" t="str"/>
      <x:c r="I35" s="55" t="str"/>
    </x:row>
    <x:row r="36" ht="15" hidden="0" customHeight="1">
      <x:c r="A36" s="15" t="str">
        <x:v>合同与退费</x:v>
      </x:c>
      <x:c r="B36" s="15" t="str">
        <x:v>投诉、争议处理和服务记录调取方式明确</x:v>
      </x:c>
      <x:c r="C36" s="15" t="str">
        <x:v>查看联系人、处理时限和记录保存方式</x:v>
      </x:c>
      <x:c r="D36" s="15" t="str">
        <x:v>重要</x:v>
      </x:c>
      <x:c r="E36" s="55" t="str"/>
      <x:c r="F36" s="55" t="str">
        <x:v>未核对</x:v>
      </x:c>
      <x:c r="G36" s="55"/>
      <x:c r="H36" s="55" t="str"/>
      <x:c r="I36" s="55" t="str"/>
    </x:row>
    <x:row r="37" ht="15" hidden="0" customHeight="1">
      <x:c r="A37" s="15" t="str">
        <x:v>费用</x:v>
      </x:c>
      <x:c r="B37" s="15" t="str">
        <x:v>报价已区分套餐内、可选项和常见额外支出</x:v>
      </x:c>
      <x:c r="C37" s="15" t="str">
        <x:v>将所有项目录入“费用明细”</x:v>
      </x:c>
      <x:c r="D37" s="15" t="str">
        <x:v>关键</x:v>
      </x:c>
      <x:c r="E37" s="55" t="str"/>
      <x:c r="F37" s="55" t="str">
        <x:v>未核对</x:v>
      </x:c>
      <x:c r="G37" s="55"/>
      <x:c r="H37" s="55" t="str"/>
      <x:c r="I37" s="55" t="str"/>
    </x:row>
    <x:row r="38" ht="15" hidden="0" customHeight="1">
      <x:c r="A38" s="15" t="str">
        <x:v>费用</x:v>
      </x:c>
      <x:c r="B38" s="15" t="str">
        <x:v>耗材、护理升级、陪住、停车和家属餐价格明确</x:v>
      </x:c>
      <x:c r="C38" s="15" t="str">
        <x:v>索取书面价目或合同附件</x:v>
      </x:c>
      <x:c r="D38" s="15" t="str">
        <x:v>重要</x:v>
      </x:c>
      <x:c r="E38" s="55" t="str"/>
      <x:c r="F38" s="55" t="str">
        <x:v>未核对</x:v>
      </x:c>
      <x:c r="G38" s="55"/>
      <x:c r="H38" s="55" t="str"/>
      <x:c r="I38" s="55" t="str"/>
    </x:row>
    <x:row r="39" ht="15" hidden="0" customHeight="1">
      <x:c r="A39" s="15" t="str">
        <x:v>费用</x:v>
      </x:c>
      <x:c r="B39" s="15" t="str">
        <x:v>优惠条件、有效期和退款影响明确</x:v>
      </x:c>
      <x:c r="C39" s="15" t="str">
        <x:v>确认优惠是否与不可退条款绑定</x:v>
      </x:c>
      <x:c r="D39" s="15" t="str">
        <x:v>重要</x:v>
      </x:c>
      <x:c r="E39" s="55" t="str"/>
      <x:c r="F39" s="55" t="str">
        <x:v>未核对</x:v>
      </x:c>
      <x:c r="G39" s="55"/>
      <x:c r="H39" s="55" t="str"/>
      <x:c r="I39" s="55" t="str"/>
    </x:row>
    <x:row r="40" ht="15" hidden="0" customHeight="1">
      <x:c r="A40" s="15" t="str">
        <x:v>距离便利</x:v>
      </x:c>
      <x:c r="B40" s="15" t="str">
        <x:v>从家或医院到机构的实际时间可接受</x:v>
      </x:c>
      <x:c r="C40" s="15" t="str">
        <x:v>分别在工作日和高峰期估算路线</x:v>
      </x:c>
      <x:c r="D40" s="15" t="str">
        <x:v>重要</x:v>
      </x:c>
      <x:c r="E40" s="55" t="str"/>
      <x:c r="F40" s="55" t="str">
        <x:v>未核对</x:v>
      </x:c>
      <x:c r="G40" s="55"/>
      <x:c r="H40" s="55" t="str"/>
      <x:c r="I40" s="55" t="str"/>
    </x:row>
    <x:row r="41" ht="15" hidden="0" customHeight="1">
      <x:c r="A41" s="15" t="str">
        <x:v>距离便利</x:v>
      </x:c>
      <x:c r="B41" s="15" t="str">
        <x:v>临时就医和家属往返有可执行方案</x:v>
      </x:c>
      <x:c r="C41" s="15" t="str">
        <x:v>确认车辆、停车、夜间出入和陪同安排</x:v>
      </x:c>
      <x:c r="D41" s="15" t="str">
        <x:v>关键</x:v>
      </x:c>
      <x:c r="E41" s="55" t="str"/>
      <x:c r="F41" s="55" t="str">
        <x:v>未核对</x:v>
      </x:c>
      <x:c r="G41" s="55"/>
      <x:c r="H41" s="55" t="str"/>
      <x:c r="I41" s="55" t="str"/>
    </x:row>
  </x:sheetData>
  <x:conditionalFormatting sqref="F7:F41">
    <x:cfRule type="containsText" dxfId="5" priority="1" operator="containsText" text="满足"/>
    <x:cfRule type="containsText" dxfId="6" priority="2" operator="containsText" text="不满足"/>
    <x:cfRule type="containsText" dxfId="7" priority="3" operator="containsText" text="部分满足"/>
  </x:conditionalFormatting>
  <x:dataValidations count="2">
    <x:dataValidation type="list" sqref="F7:F41">
      <x:formula1>"未核对,满足,部分满足,不满足,不适用"</x:formula1>
    </x:dataValidation>
    <x:dataValidation type="whole" operator="between" sqref="G7:G41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ada128cd0f84471"/>
  </x:tableParts>
</x:worksheet>
</file>

<file path=xl/worksheets/sheet4.xml><?xml version="1.0" encoding="utf-8"?>
<x:worksheet xmlns:x="http://schemas.openxmlformats.org/spreadsheetml/2006/main">
  <x:sheetPr>
    <x:tabColor rgb="FFC28A2C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  <x:col min="9" max="9" width="22" hidden="0" customWidth="1"/>
    <x:col min="10" max="10" width="30" hidden="0" customWidth="1"/>
  </x:cols>
  <x:sheetData>
    <x:row r="1" ht="19.200000762939453" hidden="0" customHeight="1">
      <x:c r="A1" s="4" t="str">
        <x:v>月子中心费用明细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按候选机构逐项登记。标记为“套餐内”的项目，预计额外费用自动计为 0。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15" hidden="0" customHeight="1">
      <x:c r="A4" s="64" t="str">
        <x:v>建议分类</x:v>
      </x:c>
      <x:c r="B4" s="64" t="str">
        <x:v>套餐基础费、房型升级、延住、护理升级、康复项目、耗材、家属餐、陪住、停车、交通、其他</x:v>
      </x:c>
      <x:c r="C4" s="64" t="str"/>
      <x:c r="D4" s="64" t="str"/>
      <x:c r="E4" s="64" t="str"/>
      <x:c r="F4" s="64" t="str"/>
      <x:c r="G4" s="64" t="str"/>
      <x:c r="H4" s="64" t="str"/>
      <x:c r="I4" s="64" t="str"/>
      <x:c r="J4" s="64" t="str"/>
    </x:row>
    <x:row r="5" ht="15" hidden="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15" hidden="0" customHeight="1">
      <x:c r="A6" s="52" t="str">
        <x:v>候选机构</x:v>
      </x:c>
      <x:c r="B6" s="53" t="str">
        <x:v>费用分类</x:v>
      </x:c>
      <x:c r="C6" s="53" t="str">
        <x:v>费用项目</x:v>
      </x:c>
      <x:c r="D6" s="53" t="str">
        <x:v>单价(元)</x:v>
      </x:c>
      <x:c r="E6" s="53" t="str">
        <x:v>数量</x:v>
      </x:c>
      <x:c r="F6" s="53" t="str">
        <x:v>套餐内</x:v>
      </x:c>
      <x:c r="G6" s="53" t="str">
        <x:v>预计额外费用(元)</x:v>
      </x:c>
      <x:c r="H6" s="53" t="str">
        <x:v>付款时间</x:v>
      </x:c>
      <x:c r="I6" s="53" t="str">
        <x:v>可退条件</x:v>
      </x:c>
      <x:c r="J6" s="54" t="str">
        <x:v>备注</x:v>
      </x:c>
    </x:row>
    <x:row r="7" ht="15" hidden="0" customHeight="1">
      <x:c r="A7" s="55" t="str"/>
      <x:c r="B7" s="55" t="str"/>
      <x:c r="C7" s="55" t="str"/>
      <x:c r="D7" s="69"/>
      <x:c r="E7" s="59"/>
      <x:c r="F7" s="55" t="str">
        <x:v>否</x:v>
      </x:c>
      <x:c r="G7" s="70" t="str">
        <x:f>IF(OR(D7="",E7=""),"",IF(F7="是",0,D7*E7))</x:f>
      </x:c>
      <x:c r="H7" s="55" t="str"/>
      <x:c r="I7" s="55" t="str"/>
      <x:c r="J7" s="55" t="str"/>
    </x:row>
    <x:row r="8" ht="15" hidden="0" customHeight="1">
      <x:c r="A8" s="55" t="str"/>
      <x:c r="B8" s="55" t="str"/>
      <x:c r="C8" s="55" t="str"/>
      <x:c r="D8" s="69"/>
      <x:c r="E8" s="59"/>
      <x:c r="F8" s="55" t="str">
        <x:v>否</x:v>
      </x:c>
      <x:c r="G8" s="70" t="str">
        <x:f>IF(OR(D8="",E8=""),"",IF(F8="是",0,D8*E8))</x:f>
      </x:c>
      <x:c r="H8" s="55" t="str"/>
      <x:c r="I8" s="55" t="str"/>
      <x:c r="J8" s="55" t="str"/>
    </x:row>
    <x:row r="9" ht="15" hidden="0" customHeight="1">
      <x:c r="A9" s="55" t="str"/>
      <x:c r="B9" s="55" t="str"/>
      <x:c r="C9" s="55" t="str"/>
      <x:c r="D9" s="69"/>
      <x:c r="E9" s="59"/>
      <x:c r="F9" s="55" t="str">
        <x:v>否</x:v>
      </x:c>
      <x:c r="G9" s="70" t="str">
        <x:f>IF(OR(D9="",E9=""),"",IF(F9="是",0,D9*E9))</x:f>
      </x:c>
      <x:c r="H9" s="55" t="str"/>
      <x:c r="I9" s="55" t="str"/>
      <x:c r="J9" s="55" t="str"/>
    </x:row>
    <x:row r="10" ht="15" hidden="0" customHeight="1">
      <x:c r="A10" s="55" t="str"/>
      <x:c r="B10" s="55" t="str"/>
      <x:c r="C10" s="55" t="str"/>
      <x:c r="D10" s="69"/>
      <x:c r="E10" s="59"/>
      <x:c r="F10" s="55" t="str">
        <x:v>否</x:v>
      </x:c>
      <x:c r="G10" s="70" t="str">
        <x:f>IF(OR(D10="",E10=""),"",IF(F10="是",0,D10*E10))</x:f>
      </x:c>
      <x:c r="H10" s="55" t="str"/>
      <x:c r="I10" s="55" t="str"/>
      <x:c r="J10" s="55" t="str"/>
    </x:row>
    <x:row r="11" ht="15" hidden="0" customHeight="1">
      <x:c r="A11" s="55" t="str"/>
      <x:c r="B11" s="55" t="str"/>
      <x:c r="C11" s="55" t="str"/>
      <x:c r="D11" s="69"/>
      <x:c r="E11" s="59"/>
      <x:c r="F11" s="55" t="str">
        <x:v>否</x:v>
      </x:c>
      <x:c r="G11" s="70" t="str">
        <x:f>IF(OR(D11="",E11=""),"",IF(F11="是",0,D11*E11))</x:f>
      </x:c>
      <x:c r="H11" s="55" t="str"/>
      <x:c r="I11" s="55" t="str"/>
      <x:c r="J11" s="55" t="str"/>
    </x:row>
    <x:row r="12" ht="15" hidden="0" customHeight="1">
      <x:c r="A12" s="55" t="str"/>
      <x:c r="B12" s="55" t="str"/>
      <x:c r="C12" s="55" t="str"/>
      <x:c r="D12" s="69"/>
      <x:c r="E12" s="59"/>
      <x:c r="F12" s="55" t="str">
        <x:v>否</x:v>
      </x:c>
      <x:c r="G12" s="70" t="str">
        <x:f>IF(OR(D12="",E12=""),"",IF(F12="是",0,D12*E12))</x:f>
      </x:c>
      <x:c r="H12" s="55" t="str"/>
      <x:c r="I12" s="55" t="str"/>
      <x:c r="J12" s="55" t="str"/>
    </x:row>
    <x:row r="13" ht="15" hidden="0" customHeight="1">
      <x:c r="A13" s="55" t="str"/>
      <x:c r="B13" s="55" t="str"/>
      <x:c r="C13" s="55" t="str"/>
      <x:c r="D13" s="69"/>
      <x:c r="E13" s="59"/>
      <x:c r="F13" s="55" t="str">
        <x:v>否</x:v>
      </x:c>
      <x:c r="G13" s="70" t="str">
        <x:f>IF(OR(D13="",E13=""),"",IF(F13="是",0,D13*E13))</x:f>
      </x:c>
      <x:c r="H13" s="55" t="str"/>
      <x:c r="I13" s="55" t="str"/>
      <x:c r="J13" s="55" t="str"/>
    </x:row>
    <x:row r="14" ht="15" hidden="0" customHeight="1">
      <x:c r="A14" s="55" t="str"/>
      <x:c r="B14" s="55" t="str"/>
      <x:c r="C14" s="55" t="str"/>
      <x:c r="D14" s="69"/>
      <x:c r="E14" s="59"/>
      <x:c r="F14" s="55" t="str">
        <x:v>否</x:v>
      </x:c>
      <x:c r="G14" s="70" t="str">
        <x:f>IF(OR(D14="",E14=""),"",IF(F14="是",0,D14*E14))</x:f>
      </x:c>
      <x:c r="H14" s="55" t="str"/>
      <x:c r="I14" s="55" t="str"/>
      <x:c r="J14" s="55" t="str"/>
    </x:row>
    <x:row r="15" ht="15" hidden="0" customHeight="1">
      <x:c r="A15" s="55" t="str"/>
      <x:c r="B15" s="55" t="str"/>
      <x:c r="C15" s="55" t="str"/>
      <x:c r="D15" s="69"/>
      <x:c r="E15" s="59"/>
      <x:c r="F15" s="55" t="str">
        <x:v>否</x:v>
      </x:c>
      <x:c r="G15" s="70" t="str">
        <x:f>IF(OR(D15="",E15=""),"",IF(F15="是",0,D15*E15))</x:f>
      </x:c>
      <x:c r="H15" s="55" t="str"/>
      <x:c r="I15" s="55" t="str"/>
      <x:c r="J15" s="55" t="str"/>
    </x:row>
    <x:row r="16" ht="15" hidden="0" customHeight="1">
      <x:c r="A16" s="55" t="str"/>
      <x:c r="B16" s="55" t="str"/>
      <x:c r="C16" s="55" t="str"/>
      <x:c r="D16" s="69"/>
      <x:c r="E16" s="59"/>
      <x:c r="F16" s="55" t="str">
        <x:v>否</x:v>
      </x:c>
      <x:c r="G16" s="70" t="str">
        <x:f>IF(OR(D16="",E16=""),"",IF(F16="是",0,D16*E16))</x:f>
      </x:c>
      <x:c r="H16" s="55" t="str"/>
      <x:c r="I16" s="55" t="str"/>
      <x:c r="J16" s="55" t="str"/>
    </x:row>
    <x:row r="17" ht="15" hidden="0" customHeight="1">
      <x:c r="A17" s="55" t="str"/>
      <x:c r="B17" s="55" t="str"/>
      <x:c r="C17" s="55" t="str"/>
      <x:c r="D17" s="69"/>
      <x:c r="E17" s="59"/>
      <x:c r="F17" s="55" t="str">
        <x:v>否</x:v>
      </x:c>
      <x:c r="G17" s="70" t="str">
        <x:f>IF(OR(D17="",E17=""),"",IF(F17="是",0,D17*E17))</x:f>
      </x:c>
      <x:c r="H17" s="55" t="str"/>
      <x:c r="I17" s="55" t="str"/>
      <x:c r="J17" s="55" t="str"/>
    </x:row>
    <x:row r="18" ht="15" hidden="0" customHeight="1">
      <x:c r="A18" s="55" t="str"/>
      <x:c r="B18" s="55" t="str"/>
      <x:c r="C18" s="55" t="str"/>
      <x:c r="D18" s="69"/>
      <x:c r="E18" s="59"/>
      <x:c r="F18" s="55" t="str">
        <x:v>否</x:v>
      </x:c>
      <x:c r="G18" s="70" t="str">
        <x:f>IF(OR(D18="",E18=""),"",IF(F18="是",0,D18*E18))</x:f>
      </x:c>
      <x:c r="H18" s="55" t="str"/>
      <x:c r="I18" s="55" t="str"/>
      <x:c r="J18" s="55" t="str"/>
    </x:row>
    <x:row r="19" ht="15" hidden="0" customHeight="1">
      <x:c r="A19" s="55" t="str"/>
      <x:c r="B19" s="55" t="str"/>
      <x:c r="C19" s="55" t="str"/>
      <x:c r="D19" s="69"/>
      <x:c r="E19" s="59"/>
      <x:c r="F19" s="55" t="str">
        <x:v>否</x:v>
      </x:c>
      <x:c r="G19" s="70" t="str">
        <x:f>IF(OR(D19="",E19=""),"",IF(F19="是",0,D19*E19))</x:f>
      </x:c>
      <x:c r="H19" s="55" t="str"/>
      <x:c r="I19" s="55" t="str"/>
      <x:c r="J19" s="55" t="str"/>
    </x:row>
    <x:row r="20" ht="15" hidden="0" customHeight="1">
      <x:c r="A20" s="55" t="str"/>
      <x:c r="B20" s="55" t="str"/>
      <x:c r="C20" s="55" t="str"/>
      <x:c r="D20" s="69"/>
      <x:c r="E20" s="59"/>
      <x:c r="F20" s="55" t="str">
        <x:v>否</x:v>
      </x:c>
      <x:c r="G20" s="70" t="str">
        <x:f>IF(OR(D20="",E20=""),"",IF(F20="是",0,D20*E20))</x:f>
      </x:c>
      <x:c r="H20" s="55" t="str"/>
      <x:c r="I20" s="55" t="str"/>
      <x:c r="J20" s="55" t="str"/>
    </x:row>
    <x:row r="21" ht="15" hidden="0" customHeight="1">
      <x:c r="A21" s="55" t="str"/>
      <x:c r="B21" s="55" t="str"/>
      <x:c r="C21" s="55" t="str"/>
      <x:c r="D21" s="69"/>
      <x:c r="E21" s="59"/>
      <x:c r="F21" s="55" t="str">
        <x:v>否</x:v>
      </x:c>
      <x:c r="G21" s="70" t="str">
        <x:f>IF(OR(D21="",E21=""),"",IF(F21="是",0,D21*E21))</x:f>
      </x:c>
      <x:c r="H21" s="55" t="str"/>
      <x:c r="I21" s="55" t="str"/>
      <x:c r="J21" s="55" t="str"/>
    </x:row>
    <x:row r="22" ht="15" hidden="0" customHeight="1">
      <x:c r="A22" s="55" t="str"/>
      <x:c r="B22" s="55" t="str"/>
      <x:c r="C22" s="55" t="str"/>
      <x:c r="D22" s="69"/>
      <x:c r="E22" s="59"/>
      <x:c r="F22" s="55" t="str">
        <x:v>否</x:v>
      </x:c>
      <x:c r="G22" s="70" t="str">
        <x:f>IF(OR(D22="",E22=""),"",IF(F22="是",0,D22*E22))</x:f>
      </x:c>
      <x:c r="H22" s="55" t="str"/>
      <x:c r="I22" s="55" t="str"/>
      <x:c r="J22" s="55" t="str"/>
    </x:row>
    <x:row r="23" ht="15" hidden="0" customHeight="1">
      <x:c r="A23" s="55" t="str"/>
      <x:c r="B23" s="55" t="str"/>
      <x:c r="C23" s="55" t="str"/>
      <x:c r="D23" s="69"/>
      <x:c r="E23" s="59"/>
      <x:c r="F23" s="55" t="str">
        <x:v>否</x:v>
      </x:c>
      <x:c r="G23" s="70" t="str">
        <x:f>IF(OR(D23="",E23=""),"",IF(F23="是",0,D23*E23))</x:f>
      </x:c>
      <x:c r="H23" s="55" t="str"/>
      <x:c r="I23" s="55" t="str"/>
      <x:c r="J23" s="55" t="str"/>
    </x:row>
    <x:row r="24" ht="15" hidden="0" customHeight="1">
      <x:c r="A24" s="55" t="str"/>
      <x:c r="B24" s="55" t="str"/>
      <x:c r="C24" s="55" t="str"/>
      <x:c r="D24" s="69"/>
      <x:c r="E24" s="59"/>
      <x:c r="F24" s="55" t="str">
        <x:v>否</x:v>
      </x:c>
      <x:c r="G24" s="70" t="str">
        <x:f>IF(OR(D24="",E24=""),"",IF(F24="是",0,D24*E24))</x:f>
      </x:c>
      <x:c r="H24" s="55" t="str"/>
      <x:c r="I24" s="55" t="str"/>
      <x:c r="J24" s="55" t="str"/>
    </x:row>
    <x:row r="25" ht="15" hidden="0" customHeight="1">
      <x:c r="A25" s="55" t="str"/>
      <x:c r="B25" s="55" t="str"/>
      <x:c r="C25" s="55" t="str"/>
      <x:c r="D25" s="69"/>
      <x:c r="E25" s="59"/>
      <x:c r="F25" s="55" t="str">
        <x:v>否</x:v>
      </x:c>
      <x:c r="G25" s="70" t="str">
        <x:f>IF(OR(D25="",E25=""),"",IF(F25="是",0,D25*E25))</x:f>
      </x:c>
      <x:c r="H25" s="55" t="str"/>
      <x:c r="I25" s="55" t="str"/>
      <x:c r="J25" s="55" t="str"/>
    </x:row>
    <x:row r="26" ht="15" hidden="0" customHeight="1">
      <x:c r="A26" s="55" t="str"/>
      <x:c r="B26" s="55" t="str"/>
      <x:c r="C26" s="55" t="str"/>
      <x:c r="D26" s="69"/>
      <x:c r="E26" s="59"/>
      <x:c r="F26" s="55" t="str">
        <x:v>否</x:v>
      </x:c>
      <x:c r="G26" s="70" t="str">
        <x:f>IF(OR(D26="",E26=""),"",IF(F26="是",0,D26*E26))</x:f>
      </x:c>
      <x:c r="H26" s="55" t="str"/>
      <x:c r="I26" s="55" t="str"/>
      <x:c r="J26" s="55" t="str"/>
    </x:row>
    <x:row r="27" ht="15" hidden="0" customHeight="1">
      <x:c r="A27" s="55" t="str"/>
      <x:c r="B27" s="55" t="str"/>
      <x:c r="C27" s="55" t="str"/>
      <x:c r="D27" s="69"/>
      <x:c r="E27" s="59"/>
      <x:c r="F27" s="55" t="str">
        <x:v>否</x:v>
      </x:c>
      <x:c r="G27" s="70" t="str">
        <x:f>IF(OR(D27="",E27=""),"",IF(F27="是",0,D27*E27))</x:f>
      </x:c>
      <x:c r="H27" s="55" t="str"/>
      <x:c r="I27" s="55" t="str"/>
      <x:c r="J27" s="55" t="str"/>
    </x:row>
    <x:row r="28" ht="15" hidden="0" customHeight="1">
      <x:c r="A28" s="55" t="str"/>
      <x:c r="B28" s="55" t="str"/>
      <x:c r="C28" s="55" t="str"/>
      <x:c r="D28" s="69"/>
      <x:c r="E28" s="59"/>
      <x:c r="F28" s="55" t="str">
        <x:v>否</x:v>
      </x:c>
      <x:c r="G28" s="70" t="str">
        <x:f>IF(OR(D28="",E28=""),"",IF(F28="是",0,D28*E28))</x:f>
      </x:c>
      <x:c r="H28" s="55" t="str"/>
      <x:c r="I28" s="55" t="str"/>
      <x:c r="J28" s="55" t="str"/>
    </x:row>
    <x:row r="29" ht="15" hidden="0" customHeight="1">
      <x:c r="A29" s="55" t="str"/>
      <x:c r="B29" s="55" t="str"/>
      <x:c r="C29" s="55" t="str"/>
      <x:c r="D29" s="69"/>
      <x:c r="E29" s="59"/>
      <x:c r="F29" s="55" t="str">
        <x:v>否</x:v>
      </x:c>
      <x:c r="G29" s="70" t="str">
        <x:f>IF(OR(D29="",E29=""),"",IF(F29="是",0,D29*E29))</x:f>
      </x:c>
      <x:c r="H29" s="55" t="str"/>
      <x:c r="I29" s="55" t="str"/>
      <x:c r="J29" s="55" t="str"/>
    </x:row>
    <x:row r="30" ht="15" hidden="0" customHeight="1">
      <x:c r="A30" s="55" t="str"/>
      <x:c r="B30" s="55" t="str"/>
      <x:c r="C30" s="55" t="str"/>
      <x:c r="D30" s="69"/>
      <x:c r="E30" s="59"/>
      <x:c r="F30" s="55" t="str">
        <x:v>否</x:v>
      </x:c>
      <x:c r="G30" s="70" t="str">
        <x:f>IF(OR(D30="",E30=""),"",IF(F30="是",0,D30*E30))</x:f>
      </x:c>
      <x:c r="H30" s="55" t="str"/>
      <x:c r="I30" s="55" t="str"/>
      <x:c r="J30" s="55" t="str"/>
    </x:row>
    <x:row r="31" ht="15" hidden="0" customHeight="1">
      <x:c r="A31" s="55" t="str"/>
      <x:c r="B31" s="55" t="str"/>
      <x:c r="C31" s="55" t="str"/>
      <x:c r="D31" s="69"/>
      <x:c r="E31" s="59"/>
      <x:c r="F31" s="55" t="str">
        <x:v>否</x:v>
      </x:c>
      <x:c r="G31" s="70" t="str">
        <x:f>IF(OR(D31="",E31=""),"",IF(F31="是",0,D31*E31))</x:f>
      </x:c>
      <x:c r="H31" s="55" t="str"/>
      <x:c r="I31" s="55" t="str"/>
      <x:c r="J31" s="55" t="str"/>
    </x:row>
    <x:row r="32" ht="15" hidden="0" customHeight="1">
      <x:c r="A32" s="55" t="str"/>
      <x:c r="B32" s="55" t="str"/>
      <x:c r="C32" s="55" t="str"/>
      <x:c r="D32" s="69"/>
      <x:c r="E32" s="59"/>
      <x:c r="F32" s="55" t="str">
        <x:v>否</x:v>
      </x:c>
      <x:c r="G32" s="70" t="str">
        <x:f>IF(OR(D32="",E32=""),"",IF(F32="是",0,D32*E32))</x:f>
      </x:c>
      <x:c r="H32" s="55" t="str"/>
      <x:c r="I32" s="55" t="str"/>
      <x:c r="J32" s="55" t="str"/>
    </x:row>
    <x:row r="33" ht="15" hidden="0" customHeight="1">
      <x:c r="A33" s="55" t="str"/>
      <x:c r="B33" s="55" t="str"/>
      <x:c r="C33" s="55" t="str"/>
      <x:c r="D33" s="69"/>
      <x:c r="E33" s="59"/>
      <x:c r="F33" s="55" t="str">
        <x:v>否</x:v>
      </x:c>
      <x:c r="G33" s="70" t="str">
        <x:f>IF(OR(D33="",E33=""),"",IF(F33="是",0,D33*E33))</x:f>
      </x:c>
      <x:c r="H33" s="55" t="str"/>
      <x:c r="I33" s="55" t="str"/>
      <x:c r="J33" s="55" t="str"/>
    </x:row>
    <x:row r="34" ht="15" hidden="0" customHeight="1">
      <x:c r="A34" s="55" t="str"/>
      <x:c r="B34" s="55" t="str"/>
      <x:c r="C34" s="55" t="str"/>
      <x:c r="D34" s="69"/>
      <x:c r="E34" s="59"/>
      <x:c r="F34" s="55" t="str">
        <x:v>否</x:v>
      </x:c>
      <x:c r="G34" s="70" t="str">
        <x:f>IF(OR(D34="",E34=""),"",IF(F34="是",0,D34*E34))</x:f>
      </x:c>
      <x:c r="H34" s="55" t="str"/>
      <x:c r="I34" s="55" t="str"/>
      <x:c r="J34" s="55" t="str"/>
    </x:row>
    <x:row r="35" ht="15" hidden="0" customHeight="1">
      <x:c r="A35" s="55" t="str"/>
      <x:c r="B35" s="55" t="str"/>
      <x:c r="C35" s="55" t="str"/>
      <x:c r="D35" s="69"/>
      <x:c r="E35" s="59"/>
      <x:c r="F35" s="55" t="str">
        <x:v>否</x:v>
      </x:c>
      <x:c r="G35" s="70" t="str">
        <x:f>IF(OR(D35="",E35=""),"",IF(F35="是",0,D35*E35))</x:f>
      </x:c>
      <x:c r="H35" s="55" t="str"/>
      <x:c r="I35" s="55" t="str"/>
      <x:c r="J35" s="55" t="str"/>
    </x:row>
    <x:row r="36" ht="15" hidden="0" customHeight="1">
      <x:c r="A36" s="55" t="str"/>
      <x:c r="B36" s="55" t="str"/>
      <x:c r="C36" s="55" t="str"/>
      <x:c r="D36" s="69"/>
      <x:c r="E36" s="59"/>
      <x:c r="F36" s="55" t="str">
        <x:v>否</x:v>
      </x:c>
      <x:c r="G36" s="70" t="str">
        <x:f>IF(OR(D36="",E36=""),"",IF(F36="是",0,D36*E36))</x:f>
      </x:c>
      <x:c r="H36" s="55" t="str"/>
      <x:c r="I36" s="55" t="str"/>
      <x:c r="J36" s="55" t="str"/>
    </x:row>
    <x:row r="37" ht="15" hidden="0" customHeight="1">
      <x:c r="A37" s="55" t="str"/>
      <x:c r="B37" s="55" t="str"/>
      <x:c r="C37" s="55" t="str"/>
      <x:c r="D37" s="69"/>
      <x:c r="E37" s="59"/>
      <x:c r="F37" s="55" t="str">
        <x:v>否</x:v>
      </x:c>
      <x:c r="G37" s="70" t="str">
        <x:f>IF(OR(D37="",E37=""),"",IF(F37="是",0,D37*E37))</x:f>
      </x:c>
      <x:c r="H37" s="55" t="str"/>
      <x:c r="I37" s="55" t="str"/>
      <x:c r="J37" s="55" t="str"/>
    </x:row>
    <x:row r="38" ht="15" hidden="0" customHeight="1">
      <x:c r="A38" s="55" t="str"/>
      <x:c r="B38" s="55" t="str"/>
      <x:c r="C38" s="55" t="str"/>
      <x:c r="D38" s="69"/>
      <x:c r="E38" s="59"/>
      <x:c r="F38" s="55" t="str">
        <x:v>否</x:v>
      </x:c>
      <x:c r="G38" s="70" t="str">
        <x:f>IF(OR(D38="",E38=""),"",IF(F38="是",0,D38*E38))</x:f>
      </x:c>
      <x:c r="H38" s="55" t="str"/>
      <x:c r="I38" s="55" t="str"/>
      <x:c r="J38" s="55" t="str"/>
    </x:row>
    <x:row r="39" ht="15" hidden="0" customHeight="1">
      <x:c r="A39" s="55" t="str"/>
      <x:c r="B39" s="55" t="str"/>
      <x:c r="C39" s="55" t="str"/>
      <x:c r="D39" s="69"/>
      <x:c r="E39" s="59"/>
      <x:c r="F39" s="55" t="str">
        <x:v>否</x:v>
      </x:c>
      <x:c r="G39" s="70" t="str">
        <x:f>IF(OR(D39="",E39=""),"",IF(F39="是",0,D39*E39))</x:f>
      </x:c>
      <x:c r="H39" s="55" t="str"/>
      <x:c r="I39" s="55" t="str"/>
      <x:c r="J39" s="55" t="str"/>
    </x:row>
    <x:row r="40" ht="15" hidden="0" customHeight="1">
      <x:c r="A40" s="55" t="str"/>
      <x:c r="B40" s="55" t="str"/>
      <x:c r="C40" s="55" t="str"/>
      <x:c r="D40" s="69"/>
      <x:c r="E40" s="59"/>
      <x:c r="F40" s="55" t="str">
        <x:v>否</x:v>
      </x:c>
      <x:c r="G40" s="70" t="str">
        <x:f>IF(OR(D40="",E40=""),"",IF(F40="是",0,D40*E40))</x:f>
      </x:c>
      <x:c r="H40" s="55" t="str"/>
      <x:c r="I40" s="55" t="str"/>
      <x:c r="J40" s="55" t="str"/>
    </x:row>
    <x:row r="41" ht="15" hidden="0" customHeight="1">
      <x:c r="A41" s="55" t="str"/>
      <x:c r="B41" s="55" t="str"/>
      <x:c r="C41" s="55" t="str"/>
      <x:c r="D41" s="69"/>
      <x:c r="E41" s="59"/>
      <x:c r="F41" s="55" t="str">
        <x:v>否</x:v>
      </x:c>
      <x:c r="G41" s="70" t="str">
        <x:f>IF(OR(D41="",E41=""),"",IF(F41="是",0,D41*E41))</x:f>
      </x:c>
      <x:c r="H41" s="55" t="str"/>
      <x:c r="I41" s="55" t="str"/>
      <x:c r="J41" s="55" t="str"/>
    </x:row>
    <x:row r="42" ht="15" hidden="0" customHeight="1">
      <x:c r="A42" s="55" t="str"/>
      <x:c r="B42" s="55" t="str"/>
      <x:c r="C42" s="55" t="str"/>
      <x:c r="D42" s="69"/>
      <x:c r="E42" s="59"/>
      <x:c r="F42" s="55" t="str">
        <x:v>否</x:v>
      </x:c>
      <x:c r="G42" s="70" t="str">
        <x:f>IF(OR(D42="",E42=""),"",IF(F42="是",0,D42*E42))</x:f>
      </x:c>
      <x:c r="H42" s="55" t="str"/>
      <x:c r="I42" s="55" t="str"/>
      <x:c r="J42" s="55" t="str"/>
    </x:row>
    <x:row r="43" ht="15" hidden="0" customHeight="1">
      <x:c r="A43" s="55" t="str"/>
      <x:c r="B43" s="55" t="str"/>
      <x:c r="C43" s="55" t="str"/>
      <x:c r="D43" s="69"/>
      <x:c r="E43" s="59"/>
      <x:c r="F43" s="55" t="str">
        <x:v>否</x:v>
      </x:c>
      <x:c r="G43" s="70" t="str">
        <x:f>IF(OR(D43="",E43=""),"",IF(F43="是",0,D43*E43))</x:f>
      </x:c>
      <x:c r="H43" s="55" t="str"/>
      <x:c r="I43" s="55" t="str"/>
      <x:c r="J43" s="55" t="str"/>
    </x:row>
    <x:row r="44" ht="15" hidden="0" customHeight="1">
      <x:c r="A44" s="55" t="str"/>
      <x:c r="B44" s="55" t="str"/>
      <x:c r="C44" s="55" t="str"/>
      <x:c r="D44" s="69"/>
      <x:c r="E44" s="59"/>
      <x:c r="F44" s="55" t="str">
        <x:v>否</x:v>
      </x:c>
      <x:c r="G44" s="70" t="str">
        <x:f>IF(OR(D44="",E44=""),"",IF(F44="是",0,D44*E44))</x:f>
      </x:c>
      <x:c r="H44" s="55" t="str"/>
      <x:c r="I44" s="55" t="str"/>
      <x:c r="J44" s="55" t="str"/>
    </x:row>
    <x:row r="45" ht="15" hidden="0" customHeight="1">
      <x:c r="A45" s="55" t="str"/>
      <x:c r="B45" s="55" t="str"/>
      <x:c r="C45" s="55" t="str"/>
      <x:c r="D45" s="69"/>
      <x:c r="E45" s="59"/>
      <x:c r="F45" s="55" t="str">
        <x:v>否</x:v>
      </x:c>
      <x:c r="G45" s="70" t="str">
        <x:f>IF(OR(D45="",E45=""),"",IF(F45="是",0,D45*E45))</x:f>
      </x:c>
      <x:c r="H45" s="55" t="str"/>
      <x:c r="I45" s="55" t="str"/>
      <x:c r="J45" s="55" t="str"/>
    </x:row>
    <x:row r="46" ht="15" hidden="0" customHeight="1">
      <x:c r="A46" s="55" t="str"/>
      <x:c r="B46" s="55" t="str"/>
      <x:c r="C46" s="55" t="str"/>
      <x:c r="D46" s="69"/>
      <x:c r="E46" s="59"/>
      <x:c r="F46" s="55" t="str">
        <x:v>否</x:v>
      </x:c>
      <x:c r="G46" s="70" t="str">
        <x:f>IF(OR(D46="",E46=""),"",IF(F46="是",0,D46*E46))</x:f>
      </x:c>
      <x:c r="H46" s="55" t="str"/>
      <x:c r="I46" s="55" t="str"/>
      <x:c r="J46" s="55" t="str"/>
    </x:row>
    <x:row r="47" ht="15" hidden="0" customHeight="1">
      <x:c r="A47" s="55" t="str"/>
      <x:c r="B47" s="55" t="str"/>
      <x:c r="C47" s="55" t="str"/>
      <x:c r="D47" s="69"/>
      <x:c r="E47" s="59"/>
      <x:c r="F47" s="55" t="str">
        <x:v>否</x:v>
      </x:c>
      <x:c r="G47" s="70" t="str">
        <x:f>IF(OR(D47="",E47=""),"",IF(F47="是",0,D47*E47))</x:f>
      </x:c>
      <x:c r="H47" s="55" t="str"/>
      <x:c r="I47" s="55" t="str"/>
      <x:c r="J47" s="55" t="str"/>
    </x:row>
    <x:row r="48" ht="15" hidden="0" customHeight="1">
      <x:c r="A48" s="55" t="str"/>
      <x:c r="B48" s="55" t="str"/>
      <x:c r="C48" s="55" t="str"/>
      <x:c r="D48" s="69"/>
      <x:c r="E48" s="59"/>
      <x:c r="F48" s="55" t="str">
        <x:v>否</x:v>
      </x:c>
      <x:c r="G48" s="70" t="str">
        <x:f>IF(OR(D48="",E48=""),"",IF(F48="是",0,D48*E48))</x:f>
      </x:c>
      <x:c r="H48" s="55" t="str"/>
      <x:c r="I48" s="55" t="str"/>
      <x:c r="J48" s="55" t="str"/>
    </x:row>
    <x:row r="49" ht="15" hidden="0" customHeight="1">
      <x:c r="A49" s="55" t="str"/>
      <x:c r="B49" s="55" t="str"/>
      <x:c r="C49" s="55" t="str"/>
      <x:c r="D49" s="69"/>
      <x:c r="E49" s="59"/>
      <x:c r="F49" s="55" t="str">
        <x:v>否</x:v>
      </x:c>
      <x:c r="G49" s="70" t="str">
        <x:f>IF(OR(D49="",E49=""),"",IF(F49="是",0,D49*E49))</x:f>
      </x:c>
      <x:c r="H49" s="55" t="str"/>
      <x:c r="I49" s="55" t="str"/>
      <x:c r="J49" s="55" t="str"/>
    </x:row>
    <x:row r="50" ht="15" hidden="0" customHeight="1">
      <x:c r="A50" s="55" t="str"/>
      <x:c r="B50" s="55" t="str"/>
      <x:c r="C50" s="55" t="str"/>
      <x:c r="D50" s="69"/>
      <x:c r="E50" s="59"/>
      <x:c r="F50" s="55" t="str">
        <x:v>否</x:v>
      </x:c>
      <x:c r="G50" s="70" t="str">
        <x:f>IF(OR(D50="",E50=""),"",IF(F50="是",0,D50*E50))</x:f>
      </x:c>
      <x:c r="H50" s="55" t="str"/>
      <x:c r="I50" s="55" t="str"/>
      <x:c r="J50" s="55" t="str"/>
    </x:row>
    <x:row r="51" ht="15" hidden="0" customHeight="1">
      <x:c r="A51" s="55" t="str"/>
      <x:c r="B51" s="55" t="str"/>
      <x:c r="C51" s="55" t="str"/>
      <x:c r="D51" s="69"/>
      <x:c r="E51" s="59"/>
      <x:c r="F51" s="55" t="str">
        <x:v>否</x:v>
      </x:c>
      <x:c r="G51" s="70" t="str">
        <x:f>IF(OR(D51="",E51=""),"",IF(F51="是",0,D51*E51))</x:f>
      </x:c>
      <x:c r="H51" s="55" t="str"/>
      <x:c r="I51" s="55" t="str"/>
      <x:c r="J51" s="55" t="str"/>
    </x:row>
    <x:row r="52" ht="15" hidden="0" customHeight="1">
      <x:c r="A52" s="55" t="str"/>
      <x:c r="B52" s="55" t="str"/>
      <x:c r="C52" s="55" t="str"/>
      <x:c r="D52" s="69"/>
      <x:c r="E52" s="59"/>
      <x:c r="F52" s="55" t="str">
        <x:v>否</x:v>
      </x:c>
      <x:c r="G52" s="70" t="str">
        <x:f>IF(OR(D52="",E52=""),"",IF(F52="是",0,D52*E52))</x:f>
      </x:c>
      <x:c r="H52" s="55" t="str"/>
      <x:c r="I52" s="55" t="str"/>
      <x:c r="J52" s="55" t="str"/>
    </x:row>
    <x:row r="53" ht="15" hidden="0" customHeight="1">
      <x:c r="A53" s="55" t="str"/>
      <x:c r="B53" s="55" t="str"/>
      <x:c r="C53" s="55" t="str"/>
      <x:c r="D53" s="69"/>
      <x:c r="E53" s="59"/>
      <x:c r="F53" s="55" t="str">
        <x:v>否</x:v>
      </x:c>
      <x:c r="G53" s="70" t="str">
        <x:f>IF(OR(D53="",E53=""),"",IF(F53="是",0,D53*E53))</x:f>
      </x:c>
      <x:c r="H53" s="55" t="str"/>
      <x:c r="I53" s="55" t="str"/>
      <x:c r="J53" s="55" t="str"/>
    </x:row>
    <x:row r="54" ht="15" hidden="0" customHeight="1">
      <x:c r="A54" s="55" t="str"/>
      <x:c r="B54" s="55" t="str"/>
      <x:c r="C54" s="55" t="str"/>
      <x:c r="D54" s="69"/>
      <x:c r="E54" s="59"/>
      <x:c r="F54" s="55" t="str">
        <x:v>否</x:v>
      </x:c>
      <x:c r="G54" s="70" t="str">
        <x:f>IF(OR(D54="",E54=""),"",IF(F54="是",0,D54*E54))</x:f>
      </x:c>
      <x:c r="H54" s="55" t="str"/>
      <x:c r="I54" s="55" t="str"/>
      <x:c r="J54" s="55" t="str"/>
    </x:row>
    <x:row r="55" ht="15" hidden="0" customHeight="1">
      <x:c r="A55" s="55" t="str"/>
      <x:c r="B55" s="55" t="str"/>
      <x:c r="C55" s="55" t="str"/>
      <x:c r="D55" s="69"/>
      <x:c r="E55" s="59"/>
      <x:c r="F55" s="55" t="str">
        <x:v>否</x:v>
      </x:c>
      <x:c r="G55" s="70" t="str">
        <x:f>IF(OR(D55="",E55=""),"",IF(F55="是",0,D55*E55))</x:f>
      </x:c>
      <x:c r="H55" s="55" t="str"/>
      <x:c r="I55" s="55" t="str"/>
      <x:c r="J55" s="55" t="str"/>
    </x:row>
    <x:row r="56" ht="15" hidden="0" customHeight="1">
      <x:c r="A56" s="55" t="str"/>
      <x:c r="B56" s="55" t="str"/>
      <x:c r="C56" s="55" t="str"/>
      <x:c r="D56" s="69"/>
      <x:c r="E56" s="59"/>
      <x:c r="F56" s="55" t="str">
        <x:v>否</x:v>
      </x:c>
      <x:c r="G56" s="70" t="str">
        <x:f>IF(OR(D56="",E56=""),"",IF(F56="是",0,D56*E56))</x:f>
      </x:c>
      <x:c r="H56" s="55" t="str"/>
      <x:c r="I56" s="55" t="str"/>
      <x:c r="J56" s="55" t="str"/>
    </x:row>
    <x:row r="57" ht="15" hidden="0" customHeight="1">
      <x:c r="A57" s="55" t="str"/>
      <x:c r="B57" s="55" t="str"/>
      <x:c r="C57" s="55" t="str"/>
      <x:c r="D57" s="69"/>
      <x:c r="E57" s="59"/>
      <x:c r="F57" s="55" t="str">
        <x:v>否</x:v>
      </x:c>
      <x:c r="G57" s="70" t="str">
        <x:f>IF(OR(D57="",E57=""),"",IF(F57="是",0,D57*E57))</x:f>
      </x:c>
      <x:c r="H57" s="55" t="str"/>
      <x:c r="I57" s="55" t="str"/>
      <x:c r="J57" s="55" t="str"/>
    </x:row>
    <x:row r="58" ht="15" hidden="0" customHeight="1">
      <x:c r="A58" s="55" t="str"/>
      <x:c r="B58" s="55" t="str"/>
      <x:c r="C58" s="55" t="str"/>
      <x:c r="D58" s="69"/>
      <x:c r="E58" s="59"/>
      <x:c r="F58" s="55" t="str">
        <x:v>否</x:v>
      </x:c>
      <x:c r="G58" s="70" t="str">
        <x:f>IF(OR(D58="",E58=""),"",IF(F58="是",0,D58*E58))</x:f>
      </x:c>
      <x:c r="H58" s="55" t="str"/>
      <x:c r="I58" s="55" t="str"/>
      <x:c r="J58" s="55" t="str"/>
    </x:row>
    <x:row r="59" ht="15" hidden="0" customHeight="1">
      <x:c r="A59" s="55" t="str"/>
      <x:c r="B59" s="55" t="str"/>
      <x:c r="C59" s="55" t="str"/>
      <x:c r="D59" s="69"/>
      <x:c r="E59" s="59"/>
      <x:c r="F59" s="55" t="str">
        <x:v>否</x:v>
      </x:c>
      <x:c r="G59" s="70" t="str">
        <x:f>IF(OR(D59="",E59=""),"",IF(F59="是",0,D59*E59))</x:f>
      </x:c>
      <x:c r="H59" s="55" t="str"/>
      <x:c r="I59" s="55" t="str"/>
      <x:c r="J59" s="55" t="str"/>
    </x:row>
    <x:row r="60" ht="15" hidden="0" customHeight="1">
      <x:c r="A60" s="55" t="str"/>
      <x:c r="B60" s="55" t="str"/>
      <x:c r="C60" s="55" t="str"/>
      <x:c r="D60" s="69"/>
      <x:c r="E60" s="59"/>
      <x:c r="F60" s="55" t="str">
        <x:v>否</x:v>
      </x:c>
      <x:c r="G60" s="70" t="str">
        <x:f>IF(OR(D60="",E60=""),"",IF(F60="是",0,D60*E60))</x:f>
      </x:c>
      <x:c r="H60" s="55" t="str"/>
      <x:c r="I60" s="55" t="str"/>
      <x:c r="J60" s="55" t="str"/>
    </x:row>
    <x:row r="61" ht="15" hidden="0" customHeight="1">
      <x:c r="A61" s="55" t="str"/>
      <x:c r="B61" s="55" t="str"/>
      <x:c r="C61" s="55" t="str"/>
      <x:c r="D61" s="69"/>
      <x:c r="E61" s="59"/>
      <x:c r="F61" s="55" t="str">
        <x:v>否</x:v>
      </x:c>
      <x:c r="G61" s="70" t="str">
        <x:f>IF(OR(D61="",E61=""),"",IF(F61="是",0,D61*E61))</x:f>
      </x:c>
      <x:c r="H61" s="55" t="str"/>
      <x:c r="I61" s="55" t="str"/>
      <x:c r="J61" s="55" t="str"/>
    </x:row>
    <x:row r="62" ht="15" hidden="0" customHeight="1">
      <x:c r="A62" s="55" t="str"/>
      <x:c r="B62" s="55" t="str"/>
      <x:c r="C62" s="55" t="str"/>
      <x:c r="D62" s="69"/>
      <x:c r="E62" s="59"/>
      <x:c r="F62" s="55" t="str">
        <x:v>否</x:v>
      </x:c>
      <x:c r="G62" s="70" t="str">
        <x:f>IF(OR(D62="",E62=""),"",IF(F62="是",0,D62*E62))</x:f>
      </x:c>
      <x:c r="H62" s="55" t="str"/>
      <x:c r="I62" s="55" t="str"/>
      <x:c r="J62" s="55" t="str"/>
    </x:row>
    <x:row r="63" ht="15" hidden="0" customHeight="1">
      <x:c r="A63" s="55" t="str"/>
      <x:c r="B63" s="55" t="str"/>
      <x:c r="C63" s="55" t="str"/>
      <x:c r="D63" s="69"/>
      <x:c r="E63" s="59"/>
      <x:c r="F63" s="55" t="str">
        <x:v>否</x:v>
      </x:c>
      <x:c r="G63" s="70" t="str">
        <x:f>IF(OR(D63="",E63=""),"",IF(F63="是",0,D63*E63))</x:f>
      </x:c>
      <x:c r="H63" s="55" t="str"/>
      <x:c r="I63" s="55" t="str"/>
      <x:c r="J63" s="55" t="str"/>
    </x:row>
    <x:row r="64" ht="15" hidden="0" customHeight="1">
      <x:c r="A64" s="55" t="str"/>
      <x:c r="B64" s="55" t="str"/>
      <x:c r="C64" s="55" t="str"/>
      <x:c r="D64" s="69"/>
      <x:c r="E64" s="59"/>
      <x:c r="F64" s="55" t="str">
        <x:v>否</x:v>
      </x:c>
      <x:c r="G64" s="70" t="str">
        <x:f>IF(OR(D64="",E64=""),"",IF(F64="是",0,D64*E64))</x:f>
      </x:c>
      <x:c r="H64" s="55" t="str"/>
      <x:c r="I64" s="55" t="str"/>
      <x:c r="J64" s="55" t="str"/>
    </x:row>
    <x:row r="65" ht="15" hidden="0" customHeight="1">
      <x:c r="A65" s="55" t="str"/>
      <x:c r="B65" s="55" t="str"/>
      <x:c r="C65" s="55" t="str"/>
      <x:c r="D65" s="69"/>
      <x:c r="E65" s="59"/>
      <x:c r="F65" s="55" t="str">
        <x:v>否</x:v>
      </x:c>
      <x:c r="G65" s="70" t="str">
        <x:f>IF(OR(D65="",E65=""),"",IF(F65="是",0,D65*E65))</x:f>
      </x:c>
      <x:c r="H65" s="55" t="str"/>
      <x:c r="I65" s="55" t="str"/>
      <x:c r="J65" s="55" t="str"/>
    </x:row>
    <x:row r="66" ht="15" hidden="0" customHeight="1">
      <x:c r="A66" s="55" t="str"/>
      <x:c r="B66" s="55" t="str"/>
      <x:c r="C66" s="55" t="str"/>
      <x:c r="D66" s="69"/>
      <x:c r="E66" s="59"/>
      <x:c r="F66" s="55" t="str">
        <x:v>否</x:v>
      </x:c>
      <x:c r="G66" s="70" t="str">
        <x:f>IF(OR(D66="",E66=""),"",IF(F66="是",0,D66*E66))</x:f>
      </x:c>
      <x:c r="H66" s="55" t="str"/>
      <x:c r="I66" s="55" t="str"/>
      <x:c r="J66" s="55" t="str"/>
    </x:row>
    <x:row r="67" ht="15" hidden="0" customHeight="1">
      <x:c r="A67" s="55" t="str"/>
      <x:c r="B67" s="55" t="str"/>
      <x:c r="C67" s="55" t="str"/>
      <x:c r="D67" s="69"/>
      <x:c r="E67" s="59"/>
      <x:c r="F67" s="55" t="str">
        <x:v>否</x:v>
      </x:c>
      <x:c r="G67" s="70" t="str">
        <x:f>IF(OR(D67="",E67=""),"",IF(F67="是",0,D67*E67))</x:f>
      </x:c>
      <x:c r="H67" s="55" t="str"/>
      <x:c r="I67" s="55" t="str"/>
      <x:c r="J67" s="55" t="str"/>
    </x:row>
    <x:row r="68" ht="15" hidden="0" customHeight="1">
      <x:c r="A68" s="55" t="str"/>
      <x:c r="B68" s="55" t="str"/>
      <x:c r="C68" s="55" t="str"/>
      <x:c r="D68" s="69"/>
      <x:c r="E68" s="59"/>
      <x:c r="F68" s="55" t="str">
        <x:v>否</x:v>
      </x:c>
      <x:c r="G68" s="70" t="str">
        <x:f>IF(OR(D68="",E68=""),"",IF(F68="是",0,D68*E68))</x:f>
      </x:c>
      <x:c r="H68" s="55" t="str"/>
      <x:c r="I68" s="55" t="str"/>
      <x:c r="J68" s="55" t="str"/>
    </x:row>
    <x:row r="69" ht="15" hidden="0" customHeight="1">
      <x:c r="A69" s="55" t="str"/>
      <x:c r="B69" s="55" t="str"/>
      <x:c r="C69" s="55" t="str"/>
      <x:c r="D69" s="69"/>
      <x:c r="E69" s="59"/>
      <x:c r="F69" s="55" t="str">
        <x:v>否</x:v>
      </x:c>
      <x:c r="G69" s="70" t="str">
        <x:f>IF(OR(D69="",E69=""),"",IF(F69="是",0,D69*E69))</x:f>
      </x:c>
      <x:c r="H69" s="55" t="str"/>
      <x:c r="I69" s="55" t="str"/>
      <x:c r="J69" s="55" t="str"/>
    </x:row>
    <x:row r="70" ht="15" hidden="0" customHeight="1">
      <x:c r="A70" s="55" t="str"/>
      <x:c r="B70" s="55" t="str"/>
      <x:c r="C70" s="55" t="str"/>
      <x:c r="D70" s="69"/>
      <x:c r="E70" s="59"/>
      <x:c r="F70" s="55" t="str">
        <x:v>否</x:v>
      </x:c>
      <x:c r="G70" s="70" t="str">
        <x:f>IF(OR(D70="",E70=""),"",IF(F70="是",0,D70*E70))</x:f>
      </x:c>
      <x:c r="H70" s="55" t="str"/>
      <x:c r="I70" s="55" t="str"/>
      <x:c r="J70" s="55" t="str"/>
    </x:row>
    <x:row r="71" ht="15" hidden="0" customHeight="1">
      <x:c r="A71" s="55" t="str"/>
      <x:c r="B71" s="55" t="str"/>
      <x:c r="C71" s="55" t="str"/>
      <x:c r="D71" s="69"/>
      <x:c r="E71" s="59"/>
      <x:c r="F71" s="55" t="str">
        <x:v>否</x:v>
      </x:c>
      <x:c r="G71" s="70" t="str">
        <x:f>IF(OR(D71="",E71=""),"",IF(F71="是",0,D71*E71))</x:f>
      </x:c>
      <x:c r="H71" s="55" t="str"/>
      <x:c r="I71" s="55" t="str"/>
      <x:c r="J71" s="55" t="str"/>
    </x:row>
    <x:row r="72" ht="15" hidden="0" customHeight="1">
      <x:c r="A72" s="55" t="str"/>
      <x:c r="B72" s="55" t="str"/>
      <x:c r="C72" s="55" t="str"/>
      <x:c r="D72" s="69"/>
      <x:c r="E72" s="59"/>
      <x:c r="F72" s="55" t="str">
        <x:v>否</x:v>
      </x:c>
      <x:c r="G72" s="70" t="str">
        <x:f>IF(OR(D72="",E72=""),"",IF(F72="是",0,D72*E72))</x:f>
      </x:c>
      <x:c r="H72" s="55" t="str"/>
      <x:c r="I72" s="55" t="str"/>
      <x:c r="J72" s="55" t="str"/>
    </x:row>
    <x:row r="73" ht="15" hidden="0" customHeight="1">
      <x:c r="A73" s="55" t="str"/>
      <x:c r="B73" s="55" t="str"/>
      <x:c r="C73" s="55" t="str"/>
      <x:c r="D73" s="69"/>
      <x:c r="E73" s="59"/>
      <x:c r="F73" s="55" t="str">
        <x:v>否</x:v>
      </x:c>
      <x:c r="G73" s="70" t="str">
        <x:f>IF(OR(D73="",E73=""),"",IF(F73="是",0,D73*E73))</x:f>
      </x:c>
      <x:c r="H73" s="55" t="str"/>
      <x:c r="I73" s="55" t="str"/>
      <x:c r="J73" s="55" t="str"/>
    </x:row>
    <x:row r="74" ht="15" hidden="0" customHeight="1">
      <x:c r="A74" s="55" t="str"/>
      <x:c r="B74" s="55" t="str"/>
      <x:c r="C74" s="55" t="str"/>
      <x:c r="D74" s="69"/>
      <x:c r="E74" s="59"/>
      <x:c r="F74" s="55" t="str">
        <x:v>否</x:v>
      </x:c>
      <x:c r="G74" s="70" t="str">
        <x:f>IF(OR(D74="",E74=""),"",IF(F74="是",0,D74*E74))</x:f>
      </x:c>
      <x:c r="H74" s="55" t="str"/>
      <x:c r="I74" s="55" t="str"/>
      <x:c r="J74" s="55" t="str"/>
    </x:row>
    <x:row r="75" ht="15" hidden="0" customHeight="1">
      <x:c r="A75" s="55" t="str"/>
      <x:c r="B75" s="55" t="str"/>
      <x:c r="C75" s="55" t="str"/>
      <x:c r="D75" s="69"/>
      <x:c r="E75" s="59"/>
      <x:c r="F75" s="55" t="str">
        <x:v>否</x:v>
      </x:c>
      <x:c r="G75" s="70" t="str">
        <x:f>IF(OR(D75="",E75=""),"",IF(F75="是",0,D75*E75))</x:f>
      </x:c>
      <x:c r="H75" s="55" t="str"/>
      <x:c r="I75" s="55" t="str"/>
      <x:c r="J75" s="55" t="str"/>
    </x:row>
    <x:row r="76" ht="15" hidden="0" customHeight="1">
      <x:c r="A76" s="55" t="str"/>
      <x:c r="B76" s="55" t="str"/>
      <x:c r="C76" s="55" t="str"/>
      <x:c r="D76" s="69"/>
      <x:c r="E76" s="59"/>
      <x:c r="F76" s="55" t="str">
        <x:v>否</x:v>
      </x:c>
      <x:c r="G76" s="70" t="str">
        <x:f>IF(OR(D76="",E76=""),"",IF(F76="是",0,D76*E76))</x:f>
      </x:c>
      <x:c r="H76" s="55" t="str"/>
      <x:c r="I76" s="55" t="str"/>
      <x:c r="J76" s="55" t="str"/>
    </x:row>
    <x:row r="77" ht="15" hidden="0" customHeight="1">
      <x:c r="A77" s="55" t="str"/>
      <x:c r="B77" s="55" t="str"/>
      <x:c r="C77" s="55" t="str"/>
      <x:c r="D77" s="69"/>
      <x:c r="E77" s="59"/>
      <x:c r="F77" s="55" t="str">
        <x:v>否</x:v>
      </x:c>
      <x:c r="G77" s="70" t="str">
        <x:f>IF(OR(D77="",E77=""),"",IF(F77="是",0,D77*E77))</x:f>
      </x:c>
      <x:c r="H77" s="55" t="str"/>
      <x:c r="I77" s="55" t="str"/>
      <x:c r="J77" s="55" t="str"/>
    </x:row>
    <x:row r="78" ht="15" hidden="0" customHeight="1">
      <x:c r="A78" s="55" t="str"/>
      <x:c r="B78" s="55" t="str"/>
      <x:c r="C78" s="55" t="str"/>
      <x:c r="D78" s="69"/>
      <x:c r="E78" s="59"/>
      <x:c r="F78" s="55" t="str">
        <x:v>否</x:v>
      </x:c>
      <x:c r="G78" s="70" t="str">
        <x:f>IF(OR(D78="",E78=""),"",IF(F78="是",0,D78*E78))</x:f>
      </x:c>
      <x:c r="H78" s="55" t="str"/>
      <x:c r="I78" s="55" t="str"/>
      <x:c r="J78" s="55" t="str"/>
    </x:row>
    <x:row r="79" ht="15" hidden="0" customHeight="1">
      <x:c r="A79" s="55" t="str"/>
      <x:c r="B79" s="55" t="str"/>
      <x:c r="C79" s="55" t="str"/>
      <x:c r="D79" s="69"/>
      <x:c r="E79" s="59"/>
      <x:c r="F79" s="55" t="str">
        <x:v>否</x:v>
      </x:c>
      <x:c r="G79" s="70" t="str">
        <x:f>IF(OR(D79="",E79=""),"",IF(F79="是",0,D79*E79))</x:f>
      </x:c>
      <x:c r="H79" s="55" t="str"/>
      <x:c r="I79" s="55" t="str"/>
      <x:c r="J79" s="55" t="str"/>
    </x:row>
    <x:row r="80" ht="15" hidden="0" customHeight="1">
      <x:c r="A80" s="55" t="str"/>
      <x:c r="B80" s="55" t="str"/>
      <x:c r="C80" s="55" t="str"/>
      <x:c r="D80" s="69"/>
      <x:c r="E80" s="59"/>
      <x:c r="F80" s="55" t="str">
        <x:v>否</x:v>
      </x:c>
      <x:c r="G80" s="70" t="str">
        <x:f>IF(OR(D80="",E80=""),"",IF(F80="是",0,D80*E80))</x:f>
      </x:c>
      <x:c r="H80" s="55" t="str"/>
      <x:c r="I80" s="55" t="str"/>
      <x:c r="J80" s="55" t="str"/>
    </x:row>
    <x:row r="81" ht="15" hidden="0" customHeight="1">
      <x:c r="A81" s="55" t="str"/>
      <x:c r="B81" s="55" t="str"/>
      <x:c r="C81" s="55" t="str"/>
      <x:c r="D81" s="69"/>
      <x:c r="E81" s="59"/>
      <x:c r="F81" s="55" t="str">
        <x:v>否</x:v>
      </x:c>
      <x:c r="G81" s="70" t="str">
        <x:f>IF(OR(D81="",E81=""),"",IF(F81="是",0,D81*E81))</x:f>
      </x:c>
      <x:c r="H81" s="55" t="str"/>
      <x:c r="I81" s="55" t="str"/>
      <x:c r="J81" s="55" t="str"/>
    </x:row>
    <x:row r="82" ht="15" hidden="0" customHeight="1">
      <x:c r="A82" s="55" t="str"/>
      <x:c r="B82" s="55" t="str"/>
      <x:c r="C82" s="55" t="str"/>
      <x:c r="D82" s="69"/>
      <x:c r="E82" s="59"/>
      <x:c r="F82" s="55" t="str">
        <x:v>否</x:v>
      </x:c>
      <x:c r="G82" s="70" t="str">
        <x:f>IF(OR(D82="",E82=""),"",IF(F82="是",0,D82*E82))</x:f>
      </x:c>
      <x:c r="H82" s="55" t="str"/>
      <x:c r="I82" s="55" t="str"/>
      <x:c r="J82" s="55" t="str"/>
    </x:row>
    <x:row r="83" ht="15" hidden="0" customHeight="1">
      <x:c r="A83" s="55" t="str"/>
      <x:c r="B83" s="55" t="str"/>
      <x:c r="C83" s="55" t="str"/>
      <x:c r="D83" s="69"/>
      <x:c r="E83" s="59"/>
      <x:c r="F83" s="55" t="str">
        <x:v>否</x:v>
      </x:c>
      <x:c r="G83" s="70" t="str">
        <x:f>IF(OR(D83="",E83=""),"",IF(F83="是",0,D83*E83))</x:f>
      </x:c>
      <x:c r="H83" s="55" t="str"/>
      <x:c r="I83" s="55" t="str"/>
      <x:c r="J83" s="55" t="str"/>
    </x:row>
    <x:row r="84" ht="15" hidden="0" customHeight="1">
      <x:c r="A84" s="55" t="str"/>
      <x:c r="B84" s="55" t="str"/>
      <x:c r="C84" s="55" t="str"/>
      <x:c r="D84" s="69"/>
      <x:c r="E84" s="59"/>
      <x:c r="F84" s="55" t="str">
        <x:v>否</x:v>
      </x:c>
      <x:c r="G84" s="70" t="str">
        <x:f>IF(OR(D84="",E84=""),"",IF(F84="是",0,D84*E84))</x:f>
      </x:c>
      <x:c r="H84" s="55" t="str"/>
      <x:c r="I84" s="55" t="str"/>
      <x:c r="J84" s="55" t="str"/>
    </x:row>
    <x:row r="85" ht="15" hidden="0" customHeight="1">
      <x:c r="A85" s="55" t="str"/>
      <x:c r="B85" s="55" t="str"/>
      <x:c r="C85" s="55" t="str"/>
      <x:c r="D85" s="69"/>
      <x:c r="E85" s="59"/>
      <x:c r="F85" s="55" t="str">
        <x:v>否</x:v>
      </x:c>
      <x:c r="G85" s="70" t="str">
        <x:f>IF(OR(D85="",E85=""),"",IF(F85="是",0,D85*E85))</x:f>
      </x:c>
      <x:c r="H85" s="55" t="str"/>
      <x:c r="I85" s="55" t="str"/>
      <x:c r="J85" s="55" t="str"/>
    </x:row>
    <x:row r="86" ht="15" hidden="0" customHeight="1">
      <x:c r="A86" s="55" t="str"/>
      <x:c r="B86" s="55" t="str"/>
      <x:c r="C86" s="55" t="str"/>
      <x:c r="D86" s="69"/>
      <x:c r="E86" s="59"/>
      <x:c r="F86" s="55" t="str">
        <x:v>否</x:v>
      </x:c>
      <x:c r="G86" s="70" t="str">
        <x:f>IF(OR(D86="",E86=""),"",IF(F86="是",0,D86*E86))</x:f>
      </x:c>
      <x:c r="H86" s="55" t="str"/>
      <x:c r="I86" s="55" t="str"/>
      <x:c r="J86" s="55" t="str"/>
    </x:row>
  </x:sheetData>
  <x:dataValidations count="2">
    <x:dataValidation type="list" sqref="F7:F86">
      <x:formula1>"是,否"</x:formula1>
    </x:dataValidation>
    <x:dataValidation type="list" sqref="B7:B86">
      <x:formula1>"套餐基础费,房型升级,延住,护理升级,康复项目,耗材,家属餐,陪住,停车,交通,其他"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1c95b648914908"/>
  </x:tableParts>
</x:worksheet>
</file>

<file path=xl/worksheets/sheet5.xml><?xml version="1.0" encoding="utf-8"?>
<x:worksheet xmlns:x="http://schemas.openxmlformats.org/spreadsheetml/2006/main">
  <x:sheetPr>
    <x:tabColor rgb="FF7B8794"/>
  </x:sheetPr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50" hidden="0" customWidth="1"/>
    <x:col min="4" max="4" width="64" hidden="0" customWidth="1"/>
  </x:cols>
  <x:sheetData>
    <x:row r="1" ht="19.200000762939453" hidden="0" customHeight="1">
      <x:c r="A1" s="4" t="str">
        <x:v>来源与使用边界</x:v>
      </x:c>
      <x:c r="B1" s="3"/>
      <x:c r="C1" s="3"/>
      <x:c r="D1" s="3"/>
    </x:row>
    <x:row r="2" ht="15" hidden="0" customHeight="1">
      <x:c r="A2" s="6" t="str">
        <x:v>官方页面用于设置核对方向。机构实际服务、资质、价格和合同条款需在签约前逐项确认。最近复核：2026-09-06。</x:v>
      </x:c>
      <x:c r="B2" s="6"/>
      <x:c r="C2" s="6"/>
      <x:c r="D2" s="6"/>
    </x:row>
    <x:row r="3" ht="15" hidden="0" customHeight="1">
      <x:c r="A3" s="2"/>
      <x:c r="B3" s="2"/>
      <x:c r="C3" s="2"/>
      <x:c r="D3" s="2"/>
    </x:row>
    <x:row r="4" ht="15" hidden="0" customHeight="1">
      <x:c r="A4" s="52" t="str">
        <x:v>编号</x:v>
      </x:c>
      <x:c r="B4" s="53" t="str">
        <x:v>来源</x:v>
      </x:c>
      <x:c r="C4" s="53" t="str">
        <x:v>主要用途</x:v>
      </x:c>
      <x:c r="D4" s="54" t="str">
        <x:v>官方链接</x:v>
      </x:c>
    </x:row>
    <x:row r="5" ht="24" hidden="0" customHeight="1">
      <x:c r="A5" s="15" t="str">
        <x:v>S1</x:v>
      </x:c>
      <x:c r="B5" s="15" t="str">
        <x:v>GB/T 33855-2026《母婴保健服务机构通用要求》</x:v>
      </x:c>
      <x:c r="C5" s="15" t="str">
        <x:v>核对机构、人员、场所、用品、服务流程和评价改进；该标准为推荐性国家标准，2026-08-01 实施。</x:v>
      </x:c>
      <x:c r="D5" s="15" t="str">
        <x:v>https://openstd.samr.gov.cn/bzgk/std/newGbInfo?hcno=1FE063378481F42AC277D56E0D032F8F</x:v>
      </x:c>
    </x:row>
    <x:row r="6" ht="24" hidden="0" customHeight="1">
      <x:c r="A6" s="15" t="str">
        <x:v>S2</x:v>
      </x:c>
      <x:c r="B6" s="15" t="str">
        <x:v>《孕产期保健工作管理办法》和《孕产期保健工作规范》</x:v>
      </x:c>
      <x:c r="C6" s="15" t="str">
        <x:v>提醒产后访视和产后健康检查属于医疗保健安排，不应被月子中心服务替代。</x:v>
      </x:c>
      <x:c r="D6" s="15" t="str">
        <x:v>https://www.nhc.gov.cn/zwgkzt/wsbysj/201107/52320.shtml</x:v>
      </x:c>
    </x:row>
    <x:row r="7" ht="24" hidden="0" customHeight="1">
      <x:c r="A7" s="15" t="str">
        <x:v>S3</x:v>
      </x:c>
      <x:c r="B7" s="15" t="str">
        <x:v>国家卫生健康委对十三届全国人大二次会议第2232号建议的答复</x:v>
      </x:c>
      <x:c r="C7" s="15" t="str">
        <x:v>说明月子会所行业规范与服务质量、卫生安全等监管背景。</x:v>
      </x:c>
      <x:c r="D7" s="15" t="str">
        <x:v>https://www.nhc.gov.cn/wjw/jiany/202007/9541c284fd044e15ba1f2866ce714ad2.shtml</x:v>
      </x:c>
    </x:row>
    <x:row r="8" ht="15" hidden="0" customHeight="1">
      <x:c r="A8" s="15"/>
      <x:c r="B8" s="15"/>
      <x:c r="C8" s="15"/>
      <x:c r="D8" s="15"/>
    </x:row>
    <x:row r="9" ht="24" hidden="0" customHeight="1">
      <x:c r="A9" s="72" t="str">
        <x:v>说明</x:v>
      </x:c>
      <x:c r="B9" s="72" t="str">
        <x:v>本工作簿不提供机构推荐，不判断医疗问题，也不替代医生、医院、监管部门或正式合同意见。</x:v>
      </x:c>
      <x:c r="C9" s="72" t="str">
        <x:v>动态事项以当次官方信息、现场证据和双方签署文本为准。</x:v>
      </x:c>
      <x:c r="D9" s="72" t="str"/>
    </x:row>
  </x:sheetData>
  <x:pageMargins left="0.7" right="0.7" top="0.75" bottom="0.75" header="0.3" footer="0.3"/>
  <x:tableParts count="1">
    <x:tablePart xmlns:r="http://schemas.openxmlformats.org/officeDocument/2006/relationships" r:id="R391d936f442a4013"/>
  </x:tableParts>
</x:worksheet>
</file>